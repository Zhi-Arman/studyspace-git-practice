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861b0c6d664d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需求登记 Реестр" sheetId="1" r:id="Rbc9d10b6631e44a9"/>
    <x:sheet xmlns:r="http://schemas.openxmlformats.org/officeDocument/2006/relationships" name="目标追踪 Цели" sheetId="2" r:id="R1faafc536d0c4838"/>
    <x:sheet xmlns:r="http://schemas.openxmlformats.org/officeDocument/2006/relationships" name="RoomBook 练习" sheetId="3" r:id="R944b86c2e2d34655"/>
    <x:sheet xmlns:r="http://schemas.openxmlformats.org/officeDocument/2006/relationships" name="修订记录 Исправления" sheetId="4" r:id="Rf66d7b93c0b440ae"/>
    <x:sheet xmlns:r="http://schemas.openxmlformats.org/officeDocument/2006/relationships" name="假设 Допущения" sheetId="5" r:id="R8185f93e9b364b3f"/>
    <x:sheet xmlns:r="http://schemas.openxmlformats.org/officeDocument/2006/relationships" name="利益相关方 Участники" sheetId="6" r:id="R6983c3cae0cf42e3"/>
    <x:sheet xmlns:r="http://schemas.openxmlformats.org/officeDocument/2006/relationships" name="访谈 Интервью" sheetId="7" r:id="Rf6a1e273454146de"/>
    <x:sheet xmlns:r="http://schemas.openxmlformats.org/officeDocument/2006/relationships" name="故事 Истории" sheetId="8" r:id="Re193a99c7f3f44aa"/>
    <x:sheet xmlns:r="http://schemas.openxmlformats.org/officeDocument/2006/relationships" name="计划测试 Тесты" sheetId="9" r:id="R101ee460504b482c"/>
    <x:sheet xmlns:r="http://schemas.openxmlformats.org/officeDocument/2006/relationships" name="架构与过渡 Архитектура" sheetId="10" r:id="R25dd50daa8e34a72"/>
    <x:sheet xmlns:r="http://schemas.openxmlformats.org/officeDocument/2006/relationships" name="文档登记 Документы" sheetId="11" r:id="R83d21afc744644bc"/>
    <x:sheet xmlns:r="http://schemas.openxmlformats.org/officeDocument/2006/relationships" name="原文盘点 Инвентаризация" sheetId="12" r:id="R787ec290cdea4d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000000"/>
      <x:name val="Arial"/>
    </x:font>
    <x:font>
      <x:sz val="10"/>
      <x:color rgb="FF333333"/>
      <x:name val="Arial"/>
    </x:font>
    <x:font>
      <x:sz val="11"/>
      <x:color rgb="FF111111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0F4F8"/>
      </x:patternFill>
    </x:fill>
  </x:fills>
  <x:borders count="5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  <x:border>
      <x:left/>
      <x:right/>
      <x:top/>
      <x:bottom style="thin">
        <x:color rgb="FFD9D9D9"/>
      </x:bottom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horizontal="center" vertical="center" wrapText="1"/>
    </x:xf>
    <x:xf numFmtId="0" fontId="3" fillId="0" borderId="4" xfId="0" applyNumberFormat="1" applyFont="1" applyFill="1" applyBorder="1" applyAlignment="1">
      <x:alignment horizontal="center" vertical="center" wrapText="1"/>
    </x:xf>
    <x:xf numFmtId="0" fontId="3" fillId="0" borderId="4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3" fillId="3" borderId="4" xfId="0" applyNumberFormat="1" applyFont="1" applyFill="1" applyBorder="1" applyAlignment="1">
      <x:alignment horizontal="center" vertical="center" wrapText="1"/>
    </x:xf>
    <x:xf numFmtId="0" fontId="3" fillId="3" borderId="4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ill>
        <x:patternFill patternType="solid">
          <x:bgColor rgb="FFFFF1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c95eda4c8b4c40" /><Relationship Type="http://schemas.openxmlformats.org/officeDocument/2006/relationships/theme" Target="/xl/theme/theme1.xml" Id="R4889305aaf564d35" /><Relationship Type="http://schemas.openxmlformats.org/officeDocument/2006/relationships/sharedStrings" Target="/xl/sharedStrings.xml" Id="Re0195edf49f647f6" /><Relationship Type="http://schemas.openxmlformats.org/officeDocument/2006/relationships/worksheet" Target="/xl/worksheets/sheet1.xml" Id="Rbc9d10b6631e44a9" /><Relationship Type="http://schemas.openxmlformats.org/officeDocument/2006/relationships/worksheet" Target="/xl/worksheets/sheet2.xml" Id="R1faafc536d0c4838" /><Relationship Type="http://schemas.openxmlformats.org/officeDocument/2006/relationships/worksheet" Target="/xl/worksheets/sheet3.xml" Id="R944b86c2e2d34655" /><Relationship Type="http://schemas.openxmlformats.org/officeDocument/2006/relationships/worksheet" Target="/xl/worksheets/sheet4.xml" Id="Rf66d7b93c0b440ae" /><Relationship Type="http://schemas.openxmlformats.org/officeDocument/2006/relationships/worksheet" Target="/xl/worksheets/sheet5.xml" Id="R8185f93e9b364b3f" /><Relationship Type="http://schemas.openxmlformats.org/officeDocument/2006/relationships/worksheet" Target="/xl/worksheets/sheet6.xml" Id="R6983c3cae0cf42e3" /><Relationship Type="http://schemas.openxmlformats.org/officeDocument/2006/relationships/worksheet" Target="/xl/worksheets/sheet7.xml" Id="Rf6a1e273454146de" /><Relationship Type="http://schemas.openxmlformats.org/officeDocument/2006/relationships/worksheet" Target="/xl/worksheets/sheet8.xml" Id="Re193a99c7f3f44aa" /><Relationship Type="http://schemas.openxmlformats.org/officeDocument/2006/relationships/worksheet" Target="/xl/worksheets/sheet9.xml" Id="R101ee460504b482c" /><Relationship Type="http://schemas.openxmlformats.org/officeDocument/2006/relationships/worksheet" Target="/xl/worksheets/sheet10.xml" Id="R25dd50daa8e34a72" /><Relationship Type="http://schemas.openxmlformats.org/officeDocument/2006/relationships/worksheet" Target="/xl/worksheets/sheet11.xml" Id="R83d21afc744644bc" /><Relationship Type="http://schemas.openxmlformats.org/officeDocument/2006/relationships/worksheet" Target="/xl/worksheets/sheet12.xml" Id="R787ec290cdea4dde" /></Relationships>
</file>

<file path=xl/tables/table1.xml><?xml version="1.0" encoding="utf-8"?>
<x:table xmlns:x="http://schemas.openxmlformats.org/spreadsheetml/2006/main" id="1" name="TaskTable1" displayName="TaskTable1" ref="A9:K69" headerRowCount="1" totalsRowCount="0" totalsRowShown="0">
  <x:autoFilter ref="A9:K69"/>
  <x:tableColumns count="11">
    <x:tableColumn id="1" name="ID"/>
    <x:tableColumn id="2" name="类型&#10;Тип"/>
    <x:tableColumn id="3" name="名称&#10;Название"/>
    <x:tableColumn id="4" name="需求表述&#10;Формулировка"/>
    <x:tableColumn id="5" name="来源&#10;Источник"/>
    <x:tableColumn id="6" name="优先级&#10;Приоритет"/>
    <x:tableColumn id="7" name="状态&#10;Состояние"/>
    <x:tableColumn id="8" name="验收标准&#10;Критерий приёмки"/>
    <x:tableColumn id="9" name="目标&#10;Цели"/>
    <x:tableColumn id="10" name="范围&#10;Объём"/>
    <x:tableColumn id="11" name="假设&#10;Допущение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skTable2" displayName="TaskTable2" ref="A5:H10" headerRowCount="1" totalsRowCount="0" totalsRowShown="0">
  <x:autoFilter ref="A5:H10"/>
  <x:tableColumns count="8">
    <x:tableColumn id="1" name="目标ID&#10;ID цели"/>
    <x:tableColumn id="2" name="目标&#10;Цель"/>
    <x:tableColumn id="3" name="测量计划&#10;План измерения"/>
    <x:tableColumn id="4" name="需求ID&#10;Требования"/>
    <x:tableColumn id="5" name="故事&#10;Истории"/>
    <x:tableColumn id="6" name="设计&#10;Проект"/>
    <x:tableColumn id="7" name="计划测试&#10;План тестов"/>
    <x:tableColumn id="8" name="状态&#10;Состояние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skTable3" displayName="TaskTable3" ref="A5:E13" headerRowCount="1" totalsRowCount="0" totalsRowShown="0">
  <x:autoFilter ref="A5:E13"/>
  <x:tableColumns count="5">
    <x:tableColumn id="1" name="编号&#10;ID"/>
    <x:tableColumn id="2" name="原文&#10;Исходный текст"/>
    <x:tableColumn id="3" name="缺陷&#10;Дефект"/>
    <x:tableColumn id="4" name="修正表述&#10;Исправление"/>
    <x:tableColumn id="5" name="假设与客户问题&#10;Допущения и вопросы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skTable4" displayName="TaskTable4" ref="A5:G17" headerRowCount="1" totalsRowCount="0" totalsRowShown="0">
  <x:autoFilter ref="A5:G17"/>
  <x:tableColumns count="7">
    <x:tableColumn id="1" name="记录ID&#10;ID"/>
    <x:tableColumn id="2" name="原ID&#10;Исходный ID"/>
    <x:tableColumn id="3" name="原文引用&#10;Цитата"/>
    <x:tableColumn id="4" name="缺陷&#10;Дефект"/>
    <x:tableColumn id="5" name="修改后&#10;После"/>
    <x:tableColumn id="6" name="候选ID&#10;Кандидаты"/>
    <x:tableColumn id="7" name="状态&#10;Состояние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askTable5" displayName="TaskTable5" ref="A5:D13" headerRowCount="1" totalsRowCount="0" totalsRowShown="0">
  <x:autoFilter ref="A5:D13"/>
  <x:tableColumns count="4">
    <x:tableColumn id="1" name="ID"/>
    <x:tableColumn id="2" name="事项&#10;Тема"/>
    <x:tableColumn id="3" name="候选值与条件&#10;Предлагаемые значения"/>
    <x:tableColumn id="4" name="状态&#10;Состояние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askTable6" displayName="TaskTable6" ref="A5:E11" headerRowCount="1" totalsRowCount="0" totalsRowShown="0">
  <x:autoFilter ref="A5:E11"/>
  <x:tableColumns count="5">
    <x:tableColumn id="1" name="角色&#10;Роль"/>
    <x:tableColumn id="2" name="需要&#10;Потребность"/>
    <x:tableColumn id="3" name="遗漏风险&#10;Риск пропуска"/>
    <x:tableColumn id="4" name="来源&#10;Источник"/>
    <x:tableColumn id="5" name="关联需求&#10;Требования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askTable7" displayName="TaskTable7" ref="A5:E20" headerRowCount="1" totalsRowCount="0" totalsRowShown="0">
  <x:autoFilter ref="A5:E20"/>
  <x:tableColumns count="5">
    <x:tableColumn id="1" name="ID"/>
    <x:tableColumn id="2" name="问题&#10;Вопрос"/>
    <x:tableColumn id="3" name="答复或待答复内容&#10;Ответ или ожидаемый ответ"/>
    <x:tableColumn id="4" name="依据&#10;Основание"/>
    <x:tableColumn id="5" name="状态&#10;Состояние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askTable8" displayName="TaskTable8" ref="A5:H11" headerRowCount="1" totalsRowCount="0" totalsRowShown="0">
  <x:autoFilter ref="A5:H11"/>
  <x:tableColumns count="8">
    <x:tableColumn id="1" name="ID"/>
    <x:tableColumn id="2" name="角色&#10;Роль"/>
    <x:tableColumn id="3" name="故事&#10;История"/>
    <x:tableColumn id="4" name="验收标准&#10;Критерии"/>
    <x:tableColumn id="5" name="需求ID&#10;Требования"/>
    <x:tableColumn id="6" name="优先级&#10;Приоритет"/>
    <x:tableColumn id="7" name="负责人&#10;Ответственный"/>
    <x:tableColumn id="8" name="状态&#10;Состояние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askTable9" displayName="TaskTable9" ref="A5:H65" headerRowCount="1" totalsRowCount="0" totalsRowShown="0">
  <x:autoFilter ref="A5:H65"/>
  <x:tableColumns count="8">
    <x:tableColumn id="1" name="ID"/>
    <x:tableColumn id="2" name="需求ID&#10;Требование"/>
    <x:tableColumn id="3" name="名称&#10;Название"/>
    <x:tableColumn id="4" name="前提&#10;Условия"/>
    <x:tableColumn id="5" name="步骤&#10;Шаги"/>
    <x:tableColumn id="6" name="预期&#10;Ожидание"/>
    <x:tableColumn id="7" name="执行状态&#10;Состояние"/>
    <x:tableColumn id="8" name="原计划TC&#10;Исходный TC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askTable10" displayName="TaskTable10" ref="A5:E10" headerRowCount="1" totalsRowCount="0" totalsRowShown="0">
  <x:autoFilter ref="A5:E10"/>
  <x:tableColumns count="5">
    <x:tableColumn id="1" name="ID"/>
    <x:tableColumn id="2" name="模块&#10;Модуль"/>
    <x:tableColumn id="3" name="设计草稿&#10;Проект"/>
    <x:tableColumn id="4" name="关联需求&#10;Требования"/>
    <x:tableColumn id="5" name="来源&#10;Источник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askTable11" displayName="TaskTable11" ref="A5:G33" headerRowCount="1" totalsRowCount="0" totalsRowShown="0">
  <x:autoFilter ref="A5:G33"/>
  <x:tableColumns count="7">
    <x:tableColumn id="1" name="记录ID&#10;ID"/>
    <x:tableColumn id="2" name="文档&#10;Документ"/>
    <x:tableColumn id="3" name="用途&#10;Назначение"/>
    <x:tableColumn id="4" name="版本&#10;Версия"/>
    <x:tableColumn id="5" name="状态&#10;Состояние"/>
    <x:tableColumn id="6" name="位置&#10;Расположение"/>
    <x:tableColumn id="7" name="备注&#10;Примечание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TaskTable12" displayName="TaskTable12" ref="A5:H43" headerRowCount="1" totalsRowCount="0" totalsRowShown="0">
  <x:autoFilter ref="A5:H43"/>
  <x:tableColumns count="8">
    <x:tableColumn id="1" name="编号&#10;№"/>
    <x:tableColumn id="2" name="原ID&#10;Исходный ID"/>
    <x:tableColumn id="3" name="原类型&#10;Исходный тип"/>
    <x:tableColumn id="4" name="原文&#10;Цитата"/>
    <x:tableColumn id="5" name="课堂分类&#10;Учебные типы"/>
    <x:tableColumn id="6" name="来源&#10;Источник"/>
    <x:tableColumn id="7" name="候选ID&#10;Кандидаты"/>
    <x:tableColumn id="8" name="备注&#10;Примечание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cc15947c356458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9c6ea0efcb346b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8463f25af0b4ad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37142594f65a477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30972e81678740d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f6d745ee63db40c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c741a96a7895451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81a6783deab241f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672222ac7263492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ffd123148a7a47d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a45e2b12c2054bbf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413e51a075104c37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2" ySplit="9" topLeftCell="C10" activePane="bottomRight" state="frozen"/>
    </x:sheetView>
  </x:sheetViews>
  <x:sheetFormatPr defaultRowHeight="15"/>
  <x:cols>
    <x:col min="1" max="1" width="25" hidden="0" customWidth="1"/>
    <x:col min="2" max="2" width="12" hidden="0" customWidth="1"/>
    <x:col min="3" max="3" width="34" hidden="0" customWidth="1"/>
    <x:col min="4" max="4" width="76" hidden="0" customWidth="1"/>
    <x:col min="5" max="5" width="48" hidden="0" customWidth="1"/>
    <x:col min="6" max="6" width="16" hidden="0" customWidth="1"/>
    <x:col min="7" max="7" width="18" hidden="0" customWidth="1"/>
    <x:col min="8" max="8" width="76" hidden="0" customWidth="1"/>
    <x:col min="9" max="9" width="20" hidden="0" customWidth="1"/>
    <x:col min="10" max="10" width="16" hidden="0" customWidth="1"/>
    <x:col min="11" max="11" width="20" hidden="0" customWidth="1"/>
  </x:cols>
  <x:sheetData>
    <x:row r="2" ht="28" customHeight="1">
      <x:c r="A2" s="1" t="str">
        <x:v>StudySpace 需求登记 Реестр требований v0.2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>
      <x:c r="A3" s="2" t="str">
        <x:v>课堂版 v0.2 / Учебная v0.2   2026-10-13   来源 / Источник 0.3.0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5" ht="22" customHeight="1">
      <x:c r="A5" s="3" t="str">
        <x:v>候选总数 / Всего</x:v>
      </x:c>
      <x:c r="B5" s="3" t="n">
        <x:f>COUNTA(A10:A69)</x:f>
        <x:v>60</x:v>
      </x:c>
    </x:row>
    <x:row r="6" ht="22" customHeight="1">
      <x:c r="A6" s="3" t="str">
        <x:v>Must / 必须</x:v>
      </x:c>
      <x:c r="B6" s="3" t="n">
        <x:f>COUNTIF(F10:F69,"Must")</x:f>
        <x:v>50</x:v>
      </x:c>
    </x:row>
    <x:row r="7" ht="22" customHeight="1">
      <x:c r="A7" s="3" t="str">
        <x:v>本轮不做 / Не сейчас</x:v>
      </x:c>
      <x:c r="B7" s="3" t="n">
        <x:f>COUNTIF(F10:F69,"Won’t")</x:f>
        <x:v>4</x:v>
      </x:c>
    </x:row>
    <x:row r="9" ht="40" customHeight="1">
      <x:c r="A9" s="9" t="str">
        <x:v>ID</x:v>
      </x:c>
      <x:c r="B9" s="10" t="str">
        <x:v>类型
Тип</x:v>
      </x:c>
      <x:c r="C9" s="10" t="str">
        <x:v>名称
Название</x:v>
      </x:c>
      <x:c r="D9" s="10" t="str">
        <x:v>需求表述
Формулировка</x:v>
      </x:c>
      <x:c r="E9" s="10" t="str">
        <x:v>来源
Источник</x:v>
      </x:c>
      <x:c r="F9" s="10" t="str">
        <x:v>优先级
Приоритет</x:v>
      </x:c>
      <x:c r="G9" s="10" t="str">
        <x:v>状态
Состояние</x:v>
      </x:c>
      <x:c r="H9" s="10" t="str">
        <x:v>验收标准
Критерий приёмки</x:v>
      </x:c>
      <x:c r="I9" s="10" t="str">
        <x:v>目标
Цели</x:v>
      </x:c>
      <x:c r="J9" s="10" t="str">
        <x:v>范围
Объём</x:v>
      </x:c>
      <x:c r="K9" s="11" t="str">
        <x:v>假设
Допущение</x:v>
      </x:c>
    </x:row>
    <x:row r="10" ht="57" customHeight="1">
      <x:c r="A10" s="13" t="str">
        <x:v>SP-BR-001</x:v>
      </x:c>
      <x:c r="B10" s="14" t="str">
        <x:v>BR</x:v>
      </x:c>
      <x:c r="C10" s="14" t="str">
        <x:v>减少预约确认耗时
Сократить время подтверждения</x:v>
      </x:c>
      <x:c r="D10" s="14" t="str">
        <x:v>试点后两周内，预约确认中位耗时应比人工流程下降30%，测量口径按A-005。
За две недели пилота медианное время подтверждения должно снизиться на 30% относительно ручного процесса по A-005.</x:v>
      </x:c>
      <x:c r="E10" s="14" t="str">
        <x:v>DOC-01 §2; DOC-02 §2; A-005（候选 / предложение）</x:v>
      </x:c>
      <x:c r="F10" s="14" t="str">
        <x:v>Should</x:v>
      </x:c>
      <x:c r="G10" s="14" t="str">
        <x:v>PROPOSED</x:v>
      </x:c>
      <x:c r="H10" s="14" t="str">
        <x:v>采集至少20组配对任务的两种流程耗时，计算中位数与降幅；没有基线时结论记为未测量。
Измерить оба процесса минимум по 20 парным заданиям, вычислить медианы и снижение; без исходных данных результат считается неизмеренным.</x:v>
      </x:c>
      <x:c r="I10" s="14" t="str">
        <x:v>G-001</x:v>
      </x:c>
      <x:c r="J10" s="14" t="str">
        <x:v>MVP</x:v>
      </x:c>
      <x:c r="K10" s="14" t="str">
        <x:v>A-005</x:v>
      </x:c>
    </x:row>
    <x:row r="11" ht="57" customHeight="1">
      <x:c r="A11" s="17" t="str">
        <x:v>SP-BR-002</x:v>
      </x:c>
      <x:c r="B11" s="18" t="str">
        <x:v>BR</x:v>
      </x:c>
      <x:c r="C11" s="18" t="str">
        <x:v>消除被接受的预约冲突
Исключить принятые конфликты</x:v>
      </x:c>
      <x:c r="D11" s="18" t="str">
        <x:v>预约服务在验证和试点中不得接受同学生或同座位的重叠预约。
Сервис не должен принимать пересекающиеся записи одного студента или места при проверке и пилоте.</x:v>
      </x:c>
      <x:c r="E11" s="18" t="str">
        <x:v>docs/data/requirements.json: FR-008, BR-002, BR-004</x:v>
      </x:c>
      <x:c r="F11" s="18" t="str">
        <x:v>Must</x:v>
      </x:c>
      <x:c r="G11" s="18" t="str">
        <x:v>PROPOSED</x:v>
      </x:c>
      <x:c r="H11" s="18" t="str">
        <x:v>对接受记录按user_id和seat_id检查区间，违规重叠数为0。
Проверить интервалы принятых записей по user_id и seat_id; нарушающих пересечений 0.</x:v>
      </x:c>
      <x:c r="I11" s="18" t="str">
        <x:v>G-002</x:v>
      </x:c>
      <x:c r="J11" s="18" t="str">
        <x:v>MVP</x:v>
      </x:c>
      <x:c r="K11" s="18" t="str"/>
    </x:row>
    <x:row r="12" ht="57" customHeight="1">
      <x:c r="A12" s="13" t="str">
        <x:v>SP-BR-003</x:v>
      </x:c>
      <x:c r="B12" s="14" t="str">
        <x:v>BR</x:v>
      </x:c>
      <x:c r="C12" s="14" t="str">
        <x:v>限制预约资格
Ограничить допуск к бронированию</x:v>
      </x:c>
      <x:c r="D12" s="14" t="str">
        <x:v>预约资源仅向启用且通过校内身份核验的学生开放。
Бронирование доступно только активным студентам с подтверждённой принадлежностью к вузу.</x:v>
      </x:c>
      <x:c r="E12" s="14" t="str">
        <x:v>docs/data/requirements.json: FR-003, FR-022, BR-006</x:v>
      </x:c>
      <x:c r="F12" s="14" t="str">
        <x:v>Must</x:v>
      </x:c>
      <x:c r="G12" s="14" t="str">
        <x:v>PROPOSED</x:v>
      </x:c>
      <x:c r="H12" s="14" t="str">
        <x:v>待核验、拒绝、停用和非学生账号的申请均不得生成预约。
Заявки ожидающих, отклонённых, неактивных и не-студентов не создают запись.</x:v>
      </x:c>
      <x:c r="I12" s="14" t="str">
        <x:v>G-003</x:v>
      </x:c>
      <x:c r="J12" s="14" t="str">
        <x:v>MVP</x:v>
      </x:c>
      <x:c r="K12" s="14" t="str"/>
    </x:row>
    <x:row r="13" ht="57" customHeight="1">
      <x:c r="A13" s="17" t="str">
        <x:v>SP-BR-004</x:v>
      </x:c>
      <x:c r="B13" s="18" t="str">
        <x:v>BR</x:v>
      </x:c>
      <x:c r="C13" s="18" t="str">
        <x:v>提供可复核管理记录
Предоставить проверяемые административные записи</x:v>
      </x:c>
      <x:c r="D13" s="18" t="str">
        <x:v>管理员应能根据统一记录核对资源状态与三项预约统计。
Администратор должен сверять состояния ресурсов и три показателя по согласованным записям.</x:v>
      </x:c>
      <x:c r="E13" s="18" t="str">
        <x:v>docs/data/requirements.json: FR-011, FR-014, FR-016</x:v>
      </x:c>
      <x:c r="F13" s="18" t="str">
        <x:v>Must</x:v>
      </x:c>
      <x:c r="G13" s="18" t="str">
        <x:v>PROPOSED</x:v>
      </x:c>
      <x:c r="H13" s="18" t="str">
        <x:v>合成数据预期计数与管理查询一致；已到期清理的数据显示不可统计。
Показатели и поиск совпадают с тестовыми данными; очищенные данные обозначаются недоступными.</x:v>
      </x:c>
      <x:c r="I13" s="18" t="str">
        <x:v>G-004</x:v>
      </x:c>
      <x:c r="J13" s="18" t="str">
        <x:v>MVP</x:v>
      </x:c>
      <x:c r="K13" s="18" t="str"/>
    </x:row>
    <x:row r="14" ht="57" customHeight="1">
      <x:c r="A14" s="13" t="str">
        <x:v>SP-BR-005</x:v>
      </x:c>
      <x:c r="B14" s="14" t="str">
        <x:v>BR</x:v>
      </x:c>
      <x:c r="C14" s="14" t="str">
        <x:v>形成可追踪课程交付
Подготовить трассируемую учебную передачу</x:v>
      </x:c>
      <x:c r="D14" s="14" t="str">
        <x:v>本次登记表中的每项需求均应关联项目目标、来源和验收标准，并具有中文和俄语对应表述。
Каждое требование этого реестра связано с целью, источником и критерием приёмки и имеет китайскую и русскую формулировки.</x:v>
      </x:c>
      <x:c r="E14" s="14" t="str">
        <x:v>docs/data/requirements.json: NFR-008</x:v>
      </x:c>
      <x:c r="F14" s="14" t="str">
        <x:v>Must</x:v>
      </x:c>
      <x:c r="G14" s="14" t="str">
        <x:v>PROPOSED</x:v>
      </x:c>
      <x:c r="H14" s="14" t="str">
        <x:v>对全部登记项检查必填字段与引用，覆盖率100%，无悬空ID。
Проверить обязательные поля и ссылки всех записей: покрытие 100%, отсутствующие ID не допускаются.</x:v>
      </x:c>
      <x:c r="I14" s="14" t="str">
        <x:v>G-005</x:v>
      </x:c>
      <x:c r="J14" s="14" t="str">
        <x:v>MVP</x:v>
      </x:c>
      <x:c r="K14" s="14" t="str"/>
    </x:row>
    <x:row r="15" ht="57" customHeight="1">
      <x:c r="A15" s="17" t="str">
        <x:v>SP-FR-001</x:v>
      </x:c>
      <x:c r="B15" s="18" t="str">
        <x:v>FR</x:v>
      </x:c>
      <x:c r="C15" s="18" t="str">
        <x:v>学生注册
Регистрация студента</x:v>
      </x:c>
      <x:c r="D15" s="18" t="str">
        <x:v>系统应以唯一学号创建学生账号，并将校内审核状态初始化为PENDING。
Система создаёт аккаунт с уникальным номером студента и начальным статусом проверки PENDING.</x:v>
      </x:c>
      <x:c r="E15" s="18" t="str">
        <x:v>docs/data/requirements.json: FR-001, BR-006</x:v>
      </x:c>
      <x:c r="F15" s="18" t="str">
        <x:v>Must</x:v>
      </x:c>
      <x:c r="G15" s="18" t="str">
        <x:v>PROPOSED</x:v>
      </x:c>
      <x:c r="H15" s="18" t="str">
        <x:v>有效学号创建1个PENDING账号；重复学号被拒绝且不产生第二账号。
Допустимый номер создаёт один PENDING-аккаунт; повторный номер отклоняется без второго аккаунта.</x:v>
      </x:c>
      <x:c r="I15" s="18" t="str">
        <x:v>G-001, G-003</x:v>
      </x:c>
      <x:c r="J15" s="18" t="str">
        <x:v>MVP</x:v>
      </x:c>
      <x:c r="K15" s="18" t="str"/>
    </x:row>
    <x:row r="16" ht="57" customHeight="1">
      <x:c r="A16" s="13" t="str">
        <x:v>SP-FR-002</x:v>
      </x:c>
      <x:c r="B16" s="14" t="str">
        <x:v>FR</x:v>
      </x:c>
      <x:c r="C16" s="14" t="str">
        <x:v>登录
Вход</x:v>
      </x:c>
      <x:c r="D16" s="14" t="str">
        <x:v>系统应允许启用账号使用有效凭据登录；PENDING学生登录后仅具有读取权限。
Система разрешает активному аккаунту вход с действительными данными; студент PENDING после входа имеет только доступ для чтения.</x:v>
      </x:c>
      <x:c r="E16" s="14" t="str">
        <x:v>docs/data/requirements.json: FR-002, FR-003</x:v>
      </x:c>
      <x:c r="F16" s="14" t="str">
        <x:v>Must</x:v>
      </x:c>
      <x:c r="G16" s="14" t="str">
        <x:v>PROPOSED</x:v>
      </x:c>
      <x:c r="H16" s="14" t="str">
        <x:v>有效凭据成功，无效凭据拒绝；PENDING登录后预约请求仍拒绝。
Действительные данные принимаются, недействительные отклоняются; бронирование PENDING после входа запрещено.</x:v>
      </x:c>
      <x:c r="I16" s="14" t="str">
        <x:v>G-001, G-003</x:v>
      </x:c>
      <x:c r="J16" s="14" t="str">
        <x:v>MVP</x:v>
      </x:c>
      <x:c r="K16" s="14" t="str">
        <x:v>A-003</x:v>
      </x:c>
    </x:row>
    <x:row r="17" ht="57" customHeight="1">
      <x:c r="A17" s="17" t="str">
        <x:v>SP-FR-003</x:v>
      </x:c>
      <x:c r="B17" s="18" t="str">
        <x:v>FR</x:v>
      </x:c>
      <x:c r="C17" s="18" t="str">
        <x:v>退出
Выход</x:v>
      </x:c>
      <x:c r="D17" s="18" t="str">
        <x:v>系统应在用户退出后使当前会话失效。
После выхода система делает текущую сессию недействительной.</x:v>
      </x:c>
      <x:c r="E17" s="18" t="str">
        <x:v>docs/data/requirements.json: FR-002</x:v>
      </x:c>
      <x:c r="F17" s="18" t="str">
        <x:v>Must</x:v>
      </x:c>
      <x:c r="G17" s="18" t="str">
        <x:v>PROPOSED</x:v>
      </x:c>
      <x:c r="H17" s="18" t="str">
        <x:v>退出后用旧会话访问受限操作被拒绝；空闲到期边界按A-003验证。
Прежняя сессия после выхода не допускается к закрытым операциям; граница бездействия проверяется по A-003.</x:v>
      </x:c>
      <x:c r="I17" s="18" t="str">
        <x:v>G-003</x:v>
      </x:c>
      <x:c r="J17" s="18" t="str">
        <x:v>MVP</x:v>
      </x:c>
      <x:c r="K17" s="18" t="str">
        <x:v>A-003</x:v>
      </x:c>
    </x:row>
    <x:row r="18" ht="57" customHeight="1">
      <x:c r="A18" s="13" t="str">
        <x:v>SP-FR-004</x:v>
      </x:c>
      <x:c r="B18" s="14" t="str">
        <x:v>FR</x:v>
      </x:c>
      <x:c r="C18" s="14" t="str">
        <x:v>服务端角色授权
Серверное разграничение ролей</x:v>
      </x:c>
      <x:c r="D18" s="14" t="str">
        <x:v>系统应在服务器端对每次受限操作检查角色、启停状态和校内审核状态。
Сервер проверяет роль, активность и статус проверки для каждой закрытой операции.</x:v>
      </x:c>
      <x:c r="E18" s="14" t="str">
        <x:v>docs/data/requirements.json: FR-003, NFR-003, BR-006</x:v>
      </x:c>
      <x:c r="F18" s="14" t="str">
        <x:v>Must</x:v>
      </x:c>
      <x:c r="G18" s="14" t="str">
        <x:v>PROPOSED</x:v>
      </x:c>
      <x:c r="H18" s="14" t="str">
        <x:v>匿名或学生直接调用管理接口均拒绝；注册不能提交ADMIN获得升权。
Анонимный пользователь и студент не вызывают административные операции; регистрация с ADMIN не повышает права.</x:v>
      </x:c>
      <x:c r="I18" s="14" t="str">
        <x:v>G-003</x:v>
      </x:c>
      <x:c r="J18" s="14" t="str">
        <x:v>MVP</x:v>
      </x:c>
      <x:c r="K18" s="14" t="str"/>
    </x:row>
    <x:row r="19" ht="57" customHeight="1">
      <x:c r="A19" s="17" t="str">
        <x:v>SP-FR-005</x:v>
      </x:c>
      <x:c r="B19" s="18" t="str">
        <x:v>FR</x:v>
      </x:c>
      <x:c r="C19" s="18" t="str">
        <x:v>按位置查询房间
Поиск помещений по расположению</x:v>
      </x:c>
      <x:c r="D19" s="18" t="str">
        <x:v>系统应按校区、楼栋、楼层和房间类型筛选房间。
Система фильтрует помещения по кампусу, корпусу, этажу и типу.</x:v>
      </x:c>
      <x:c r="E19" s="18" t="str">
        <x:v>docs/data/requirements.json: FR-004</x:v>
      </x:c>
      <x:c r="F19" s="18" t="str">
        <x:v>Must</x:v>
      </x:c>
      <x:c r="G19" s="18" t="str">
        <x:v>PROPOSED</x:v>
      </x:c>
      <x:c r="H19" s="18" t="str">
        <x:v>各过滤条件分别与组合返回匹配房间；无匹配结果显示空列表。
Отдельные и совместные фильтры возвращают совпадения; при отсутствии совпадений список пуст.</x:v>
      </x:c>
      <x:c r="I19" s="18" t="str">
        <x:v>G-001</x:v>
      </x:c>
      <x:c r="J19" s="18" t="str">
        <x:v>MVP</x:v>
      </x:c>
      <x:c r="K19" s="18" t="str"/>
    </x:row>
    <x:row r="20" ht="57" customHeight="1">
      <x:c r="A20" s="13" t="str">
        <x:v>SP-FR-006</x:v>
      </x:c>
      <x:c r="B20" s="14" t="str">
        <x:v>FR</x:v>
      </x:c>
      <x:c r="C20" s="14" t="str">
        <x:v>查询开放时间
Просмотр часов работы</x:v>
      </x:c>
      <x:c r="D20" s="14" t="str">
        <x:v>系统应按Asia/Shanghai业务日期返回房间的有效开放窗口，日期例外优先于常规设置。
Система возвращает часы помещения по деловой дате Asia/Shanghai; исключение даты приоритетнее обычного расписания.</x:v>
      </x:c>
      <x:c r="E20" s="14" t="str">
        <x:v>docs/data/requirements.json: FR-005, FR-012, BR-003, BR-008</x:v>
      </x:c>
      <x:c r="F20" s="14" t="str">
        <x:v>Must</x:v>
      </x:c>
      <x:c r="G20" s="14" t="str">
        <x:v>PROPOSED</x:v>
      </x:c>
      <x:c r="H20" s="14" t="str">
        <x:v>无例外时08:00–22:00；关闭日期无可预约窗口；跨设备时区结果一致。
Без исключения 08:00–22:00; закрытая дата не имеет доступного окна; пояс устройства не меняет результат.</x:v>
      </x:c>
      <x:c r="I20" s="14" t="str">
        <x:v>G-001, G-004</x:v>
      </x:c>
      <x:c r="J20" s="14" t="str">
        <x:v>MVP</x:v>
      </x:c>
      <x:c r="K20" s="14" t="str"/>
    </x:row>
    <x:row r="21" ht="57" customHeight="1">
      <x:c r="A21" s="17" t="str">
        <x:v>SP-FR-007</x:v>
      </x:c>
      <x:c r="B21" s="18" t="str">
        <x:v>FR</x:v>
      </x:c>
      <x:c r="C21" s="18" t="str">
        <x:v>查询空闲座位
Поиск свободных мест</x:v>
      </x:c>
      <x:c r="D21" s="18" t="str">
        <x:v>系统应为合法日期和[start,end)区间返回启用房间内启用且没有重叠有效预约的座位。
Для допустимой даты и [start,end) система возвращает активные места активных помещений без пересечения действующих записей.</x:v>
      </x:c>
      <x:c r="E21" s="18" t="str">
        <x:v>docs/data/requirements.json: FR-006, FR-017, BR-002</x:v>
      </x:c>
      <x:c r="F21" s="18" t="str">
        <x:v>Must</x:v>
      </x:c>
      <x:c r="G21" s="18" t="str">
        <x:v>PROPOSED</x:v>
      </x:c>
      <x:c r="H21" s="18" t="str">
        <x:v>已占用或停用座位不返回；相邻区间可返回；提交预约时重新校验。
Занятые и неактивные места не возвращаются; соседний интервал допустим; при создании выполняется повторная проверка.</x:v>
      </x:c>
      <x:c r="I21" s="18" t="str">
        <x:v>G-001, G-002</x:v>
      </x:c>
      <x:c r="J21" s="18" t="str">
        <x:v>MVP</x:v>
      </x:c>
      <x:c r="K21" s="18" t="str"/>
    </x:row>
    <x:row r="22" ht="57" customHeight="1">
      <x:c r="A22" s="13" t="str">
        <x:v>SP-FR-008</x:v>
      </x:c>
      <x:c r="B22" s="14" t="str">
        <x:v>FR</x:v>
      </x:c>
      <x:c r="C22" s="14" t="str">
        <x:v>创建单座位预约
Создание бронирования одного места</x:v>
      </x:c>
      <x:c r="D22" s="14" t="str">
        <x:v>系统应为通过资格和时间规则校验的申请创建一条单座位预约，并返回唯一预约ID。
Для заявки, прошедшей проверку допуска и временных правил, система создаёт одну запись одного места и возвращает уникальный ID.</x:v>
      </x:c>
      <x:c r="E22" s="14" t="str">
        <x:v>docs/data/requirements.json: FR-007, FR-017, BR-001, BR-003, BR-004</x:v>
      </x:c>
      <x:c r="F22" s="14" t="str">
        <x:v>Must</x:v>
      </x:c>
      <x:c r="G22" s="14" t="str">
        <x:v>PROPOSED</x:v>
      </x:c>
      <x:c r="H22" s="14" t="str">
        <x:v>合法申请生成1条记录；无效申请0条；同一学生可创建多条非重叠预约。
Допустимая заявка создаёт одну запись, недопустимая ни одной; студент может создать несколько непересекающихся записей.</x:v>
      </x:c>
      <x:c r="I22" s="14" t="str">
        <x:v>G-001, G-002</x:v>
      </x:c>
      <x:c r="J22" s="14" t="str">
        <x:v>MVP</x:v>
      </x:c>
      <x:c r="K22" s="14" t="str"/>
    </x:row>
    <x:row r="23" ht="72" customHeight="1">
      <x:c r="A23" s="17" t="str">
        <x:v>SP-FR-009</x:v>
      </x:c>
      <x:c r="B23" s="18" t="str">
        <x:v>FR</x:v>
      </x:c>
      <x:c r="C23" s="18" t="str">
        <x:v>检测学生和座位冲突
Проверка конфликтов студента и места</x:v>
      </x:c>
      <x:c r="D23" s="18" t="str">
        <x:v>系统应按existing.start &lt; new.end且new.start &lt; existing.end拒绝同user_id或seat_id的未取消重叠预约。
Система отклоняет неотменённые пересечения одного user_id или seat_id по existing.start &lt; new.end и new.start &lt; existing.end.</x:v>
      </x:c>
      <x:c r="E23" s="18" t="str">
        <x:v>docs/data/requirements.json: FR-008, BR-002, BR-004</x:v>
      </x:c>
      <x:c r="F23" s="18" t="str">
        <x:v>Must</x:v>
      </x:c>
      <x:c r="G23" s="18" t="str">
        <x:v>PROPOSED</x:v>
      </x:c>
      <x:c r="H23" s="18" t="str">
        <x:v>覆盖包含、部分重叠、相同区间；不同seat的同学生重叠拒绝，相邻与不同日期非重叠允许。
Проверить вложение, частичное и полное совпадение; пересечение студента на разных местах запрещено, соседние и непересекающиеся дни разрешены.</x:v>
      </x:c>
      <x:c r="I23" s="18" t="str">
        <x:v>G-002</x:v>
      </x:c>
      <x:c r="J23" s="18" t="str">
        <x:v>MVP</x:v>
      </x:c>
      <x:c r="K23" s="18" t="str"/>
    </x:row>
    <x:row r="24" ht="57" customHeight="1">
      <x:c r="A24" s="13" t="str">
        <x:v>SP-FR-010</x:v>
      </x:c>
      <x:c r="B24" s="14" t="str">
        <x:v>FR</x:v>
      </x:c>
      <x:c r="C24" s="14" t="str">
        <x:v>学生取消本人预约
Отмена своей записи студентом</x:v>
      </x:c>
      <x:c r="D24" s="14" t="str">
        <x:v>系统应允许学生在锁后判定时刻now&lt;start时取消本人预约。
Система разрешает студенту отменять собственную запись, если now&lt;start после блокировок.</x:v>
      </x:c>
      <x:c r="E24" s="14" t="str">
        <x:v>docs/data/requirements.json: FR-009, BR-005</x:v>
      </x:c>
      <x:c r="F24" s="14" t="str">
        <x:v>Must</x:v>
      </x:c>
      <x:c r="G24" s="14" t="str">
        <x:v>PROPOSED</x:v>
      </x:c>
      <x:c r="H24" s="14" t="str">
        <x:v>开始前成功，恰到开始或之后拒绝；他人预约拒绝；只释放本条座位与区间。
До начала успех, в момент начала и позже отказ; чужая запись запрещена; освобождается только эта запись.</x:v>
      </x:c>
      <x:c r="I24" s="14" t="str">
        <x:v>G-001, G-002</x:v>
      </x:c>
      <x:c r="J24" s="14" t="str">
        <x:v>MVP</x:v>
      </x:c>
      <x:c r="K24" s="14" t="str"/>
    </x:row>
    <x:row r="25" ht="57" customHeight="1">
      <x:c r="A25" s="17" t="str">
        <x:v>SP-FR-011</x:v>
      </x:c>
      <x:c r="B25" s="18" t="str">
        <x:v>FR</x:v>
      </x:c>
      <x:c r="C25" s="18" t="str">
        <x:v>管理员带原因取消
Отмена администратором с причиной</x:v>
      </x:c>
      <x:c r="D25" s="18" t="str">
        <x:v>系统应允许管理员取消预约，并要求记录非空取消原因。
Администратор может отменить бронирование с обязательной непустой причиной.</x:v>
      </x:c>
      <x:c r="E25" s="18" t="str">
        <x:v>docs/data/requirements.json: FR-009, BR-005</x:v>
      </x:c>
      <x:c r="F25" s="18" t="str">
        <x:v>Must</x:v>
      </x:c>
      <x:c r="G25" s="18" t="str">
        <x:v>PROPOSED</x:v>
      </x:c>
      <x:c r="H25" s="18" t="str">
        <x:v>开始后管理员可取消；缺少原因时拒绝；保存执行者、时刻和原因。
После начала администратор может отменить; без причины отказ; сохраняются исполнитель, время и причина.</x:v>
      </x:c>
      <x:c r="I25" s="18" t="str">
        <x:v>G-002, G-004</x:v>
      </x:c>
      <x:c r="J25" s="18" t="str">
        <x:v>MVP</x:v>
      </x:c>
      <x:c r="K25" s="18" t="str"/>
    </x:row>
    <x:row r="26" ht="57" customHeight="1">
      <x:c r="A26" s="13" t="str">
        <x:v>SP-FR-012</x:v>
      </x:c>
      <x:c r="B26" s="14" t="str">
        <x:v>FR</x:v>
      </x:c>
      <x:c r="C26" s="14" t="str">
        <x:v>幂等取消
Идемпотентная отмена</x:v>
      </x:c>
      <x:c r="D26" s="14" t="str">
        <x:v>系统应将重复取消同一预约处理为同一结果，不重复新增取消事件。
Повторная отмена одной записи даёт тот же результат без второго события отмены.</x:v>
      </x:c>
      <x:c r="E26" s="14" t="str">
        <x:v>docs/data/requirements.json: FR-009, BR-005</x:v>
      </x:c>
      <x:c r="F26" s="14" t="str">
        <x:v>Must</x:v>
      </x:c>
      <x:c r="G26" s="14" t="str">
        <x:v>PROPOSED</x:v>
      </x:c>
      <x:c r="H26" s="14" t="str">
        <x:v>同一预约取消两次，取消计数与对应审计事件各增加1次。
При двух отменах одной записи счётчик и соответствующее событие увеличиваются один раз.</x:v>
      </x:c>
      <x:c r="I26" s="14" t="str">
        <x:v>G-002, G-004</x:v>
      </x:c>
      <x:c r="J26" s="14" t="str">
        <x:v>MVP</x:v>
      </x:c>
      <x:c r="K26" s="14" t="str"/>
    </x:row>
    <x:row r="27" ht="57" customHeight="1">
      <x:c r="A27" s="17" t="str">
        <x:v>SP-FR-013</x:v>
      </x:c>
      <x:c r="B27" s="18" t="str">
        <x:v>FR</x:v>
      </x:c>
      <x:c r="C27" s="18" t="str">
        <x:v>查询本人记录
Просмотр собственных записей</x:v>
      </x:c>
      <x:c r="D27" s="18" t="str">
        <x:v>系统应仅向学生返回本人预约，支持状态和业务日期筛选，按起始时间倒序分页。
Студент получает только свои записи с фильтрами по состоянию и дате, постранично по началу в обратном порядке.</x:v>
      </x:c>
      <x:c r="E27" s="18" t="str">
        <x:v>docs/data/requirements.json: FR-010</x:v>
      </x:c>
      <x:c r="F27" s="18" t="str">
        <x:v>Must</x:v>
      </x:c>
      <x:c r="G27" s="18" t="str">
        <x:v>PROPOSED</x:v>
      </x:c>
      <x:c r="H27" s="18" t="str">
        <x:v>两学生交叉查询无他人记录；默认每页20；本次接口候选明确拒绝页大小超过100的请求。
Два студента не видят чужих записей; по умолчанию 20; этот кандидат интерфейса явно отклоняет размер страницы более 100.</x:v>
      </x:c>
      <x:c r="I27" s="18" t="str">
        <x:v>G-001, G-003</x:v>
      </x:c>
      <x:c r="J27" s="18" t="str">
        <x:v>MVP</x:v>
      </x:c>
      <x:c r="K27" s="18" t="str">
        <x:v>A-006</x:v>
      </x:c>
    </x:row>
    <x:row r="28" ht="57" customHeight="1">
      <x:c r="A28" s="13" t="str">
        <x:v>SP-FR-014</x:v>
      </x:c>
      <x:c r="B28" s="14" t="str">
        <x:v>FR</x:v>
      </x:c>
      <x:c r="C28" s="14" t="str">
        <x:v>管理房间
Управление помещениями</x:v>
      </x:c>
      <x:c r="D28" s="14" t="str">
        <x:v>系统应允许管理员维护房间位置、名称、CLASSROOM或STUDY_ROOM类型及启停状态。
Администратор ведёт расположение, имя, тип CLASSROOM или STUDY_ROOM и активность помещения.</x:v>
      </x:c>
      <x:c r="E28" s="14" t="str">
        <x:v>docs/data/requirements.json: FR-011</x:v>
      </x:c>
      <x:c r="F28" s="14" t="str">
        <x:v>Must</x:v>
      </x:c>
      <x:c r="G28" s="14" t="str">
        <x:v>PROPOSED</x:v>
      </x:c>
      <x:c r="H28" s="14" t="str">
        <x:v>学生修改被拒绝；管理员修改可查询；有历史房间使用软停用。
Изменение студентом запрещено; изменение администратора видно; помещение с историей отключается без удаления.</x:v>
      </x:c>
      <x:c r="I28" s="14" t="str">
        <x:v>G-004</x:v>
      </x:c>
      <x:c r="J28" s="14" t="str">
        <x:v>MVP</x:v>
      </x:c>
      <x:c r="K28" s="14" t="str"/>
    </x:row>
    <x:row r="29" ht="72" customHeight="1">
      <x:c r="A29" s="17" t="str">
        <x:v>SP-FR-015</x:v>
      </x:c>
      <x:c r="B29" s="18" t="str">
        <x:v>FR</x:v>
      </x:c>
      <x:c r="C29" s="18" t="str">
        <x:v>管理座位
Управление местами</x:v>
      </x:c>
      <x:c r="D29" s="18" t="str">
        <x:v>系统应允许管理员维护所属房间的座位编码与启停状态，并保证room_id与seat_code组合唯一。
Администратор ведёт код и активность места; пара room_id и seat_code уникальна.</x:v>
      </x:c>
      <x:c r="E29" s="18" t="str">
        <x:v>docs/data/requirements.json: FR-011, FR-017</x:v>
      </x:c>
      <x:c r="F29" s="18" t="str">
        <x:v>Must</x:v>
      </x:c>
      <x:c r="G29" s="18" t="str">
        <x:v>PROPOSED</x:v>
      </x:c>
      <x:c r="H29" s="18" t="str">
        <x:v>同房间重复编码拒绝，不同房间相同编码允许；容量等于启用座位数量。
Повторный код внутри помещения запрещён, между помещениями допустим; ёмкость равна числу активных мест.</x:v>
      </x:c>
      <x:c r="I29" s="18" t="str">
        <x:v>G-004</x:v>
      </x:c>
      <x:c r="J29" s="18" t="str">
        <x:v>MVP</x:v>
      </x:c>
      <x:c r="K29" s="18" t="str"/>
    </x:row>
    <x:row r="30" ht="57" customHeight="1">
      <x:c r="A30" s="13" t="str">
        <x:v>SP-FR-016</x:v>
      </x:c>
      <x:c r="B30" s="14" t="str">
        <x:v>FR</x:v>
      </x:c>
      <x:c r="C30" s="14" t="str">
        <x:v>设置开放例外
Настройка исключений часов</x:v>
      </x:c>
      <x:c r="D30" s="14" t="str">
        <x:v>系统应允许管理员设置房间常规开放时间和指定日期例外。
Администратор задаёт обычные часы и исключения для конкретных дат помещения.</x:v>
      </x:c>
      <x:c r="E30" s="14" t="str">
        <x:v>docs/data/requirements.json: FR-012, BR-003</x:v>
      </x:c>
      <x:c r="F30" s="14" t="str">
        <x:v>Must</x:v>
      </x:c>
      <x:c r="G30" s="14" t="str">
        <x:v>PROPOSED</x:v>
      </x:c>
      <x:c r="H30" s="14" t="str">
        <x:v>日期例外覆盖常规时间；不合法窗口拒绝；修改后查询反映新窗口。
Исключение даты заменяет обычное расписание; недопустимое окно отклоняется; поиск отражает новый интервал.</x:v>
      </x:c>
      <x:c r="I30" s="14" t="str">
        <x:v>G-004</x:v>
      </x:c>
      <x:c r="J30" s="14" t="str">
        <x:v>MVP</x:v>
      </x:c>
      <x:c r="K30" s="14" t="str"/>
    </x:row>
    <x:row r="31" ht="72" customHeight="1">
      <x:c r="A31" s="17" t="str">
        <x:v>SP-FR-017</x:v>
      </x:c>
      <x:c r="B31" s="18" t="str">
        <x:v>FR</x:v>
      </x:c>
      <x:c r="C31" s="18" t="str">
        <x:v>停用资源处理
Обработка деактивации ресурса</x:v>
      </x:c>
      <x:c r="D31" s="18" t="str">
        <x:v>系统应在停用房间或座位、缩短开放窗口的同一事务中，取消受影响且未结束的预约并记录原因。
При отключении помещения или места либо сокращении часов система в одной транзакции отменяет затронутые незавершённые записи с причиной.</x:v>
      </x:c>
      <x:c r="E31" s="18" t="str">
        <x:v>docs/data/requirements.json: FR-012, BR-007</x:v>
      </x:c>
      <x:c r="F31" s="18" t="str">
        <x:v>Must</x:v>
      </x:c>
      <x:c r="G31" s="18" t="str">
        <x:v>PROPOSED</x:v>
      </x:c>
      <x:c r="H31" s="18" t="str">
        <x:v>受影响记录取消，未受影响记录保持；重新启用不恢复旧预约；失败全部回滚。
Затронутые записи отменены, остальные сохранены; включение не восстанавливает старые записи; сбой откатывает всё.</x:v>
      </x:c>
      <x:c r="I31" s="18" t="str">
        <x:v>G-002, G-004</x:v>
      </x:c>
      <x:c r="J31" s="18" t="str">
        <x:v>MVP</x:v>
      </x:c>
      <x:c r="K31" s="18" t="str"/>
    </x:row>
    <x:row r="32" ht="57" customHeight="1">
      <x:c r="A32" s="13" t="str">
        <x:v>SP-FR-018</x:v>
      </x:c>
      <x:c r="B32" s="14" t="str">
        <x:v>FR</x:v>
      </x:c>
      <x:c r="C32" s="14" t="str">
        <x:v>管理预约规则
Настройка правил бронирования</x:v>
      </x:c>
      <x:c r="D32" s="14" t="str">
        <x:v>系统应允许管理员调整授权的开放与提前窗口，同时禁止通过普通管理界面放宽硬约束。
Администратор настраивает разрешённые часы и горизонт, но обычный интерфейс не ослабляет жёсткие ограничения.</x:v>
      </x:c>
      <x:c r="E32" s="14" t="str">
        <x:v>docs/data/requirements.json: FR-013</x:v>
      </x:c>
      <x:c r="F32" s="14" t="str">
        <x:v>Must</x:v>
      </x:c>
      <x:c r="G32" s="14" t="str">
        <x:v>PROPOSED</x:v>
      </x:c>
      <x:c r="H32" s="14" t="str">
        <x:v>尝试放宽单座位、校内核验、同学生互斥或24h限制被拒绝；合法变更记录审计。
Ослабление одного места, проверки вуза, пересечения студента или 24 ч запрещено; допустимое изменение аудируется.</x:v>
      </x:c>
      <x:c r="I32" s="14" t="str">
        <x:v>G-002, G-004</x:v>
      </x:c>
      <x:c r="J32" s="14" t="str">
        <x:v>MVP</x:v>
      </x:c>
      <x:c r="K32" s="14" t="str"/>
    </x:row>
    <x:row r="33" ht="57" customHeight="1">
      <x:c r="A33" s="17" t="str">
        <x:v>SP-FR-019</x:v>
      </x:c>
      <x:c r="B33" s="18" t="str">
        <x:v>FR</x:v>
      </x:c>
      <x:c r="C33" s="18" t="str">
        <x:v>管理员查询记录
Административный поиск записей</x:v>
      </x:c>
      <x:c r="D33" s="18" t="str">
        <x:v>系统应允许管理员按日期、房间、座位、状态和学号分页查询保留期内的必要预约记录。
Администратор постранично ищет необходимые записи в срок хранения по дате, помещению, месту, состоянию и номеру студента.</x:v>
      </x:c>
      <x:c r="E33" s="18" t="str">
        <x:v>docs/data/requirements.json: FR-014</x:v>
      </x:c>
      <x:c r="F33" s="18" t="str">
        <x:v>Must</x:v>
      </x:c>
      <x:c r="G33" s="18" t="str">
        <x:v>PROPOSED</x:v>
      </x:c>
      <x:c r="H33" s="18" t="str">
        <x:v>各条件匹配结果；学生无此权限；MVP无批量导出；去标识化记录不显示原姓名学号。
Фильтры совпадают с данными; студент не имеет доступа; массового экспорта в MVP нет; обезличенные записи не раскрывают прежние имя и номер.</x:v>
      </x:c>
      <x:c r="I33" s="18" t="str">
        <x:v>G-003, G-004</x:v>
      </x:c>
      <x:c r="J33" s="18" t="str">
        <x:v>MVP</x:v>
      </x:c>
      <x:c r="K33" s="18" t="str"/>
    </x:row>
    <x:row r="34" ht="72" customHeight="1">
      <x:c r="A34" s="13" t="str">
        <x:v>SP-FR-020</x:v>
      </x:c>
      <x:c r="B34" s="14" t="str">
        <x:v>FR</x:v>
      </x:c>
      <x:c r="C34" s="14" t="str">
        <x:v>停用账号
Деактивация аккаунта</x:v>
      </x:c>
      <x:c r="D34" s="14" t="str">
        <x:v>系统应在管理员停用账号的同一事务中取消该账号的未结束预约。
При деактивации аккаунта администратором система атомарно отменяет его незавершённые записи.</x:v>
      </x:c>
      <x:c r="E34" s="14" t="str">
        <x:v>docs/data/requirements.json: FR-015, BR-006</x:v>
      </x:c>
      <x:c r="F34" s="14" t="str">
        <x:v>Must</x:v>
      </x:c>
      <x:c r="G34" s="14" t="str">
        <x:v>PROPOSED</x:v>
      </x:c>
      <x:c r="H34" s="14" t="str">
        <x:v>停用后不能预约，未来有效预约取消；并发创建与停用不能留下停用账号有效预约。
После отключения бронирование запрещено, будущие записи отменены; гонка создания и отключения не оставляет действующей записи неактивного аккаунта.</x:v>
      </x:c>
      <x:c r="I34" s="14" t="str">
        <x:v>G-002, G-003, G-004</x:v>
      </x:c>
      <x:c r="J34" s="14" t="str">
        <x:v>MVP</x:v>
      </x:c>
      <x:c r="K34" s="14" t="str"/>
    </x:row>
    <x:row r="35" ht="57" customHeight="1">
      <x:c r="A35" s="17" t="str">
        <x:v>SP-FR-021</x:v>
      </x:c>
      <x:c r="B35" s="18" t="str">
        <x:v>FR</x:v>
      </x:c>
      <x:c r="C35" s="18" t="str">
        <x:v>身份变更重新核验
Повторная проверка идентификаторов</x:v>
      </x:c>
      <x:c r="D35" s="18" t="str">
        <x:v>系统应在学生身份字段更改后将审核状态置回PENDING并取消未结束预约。
После изменения идентификаторов студента система возвращает PENDING и отменяет незавершённые записи.</x:v>
      </x:c>
      <x:c r="E35" s="18" t="str">
        <x:v>docs/data/requirements.json: FR-015, BR-006</x:v>
      </x:c>
      <x:c r="F35" s="18" t="str">
        <x:v>Must</x:v>
      </x:c>
      <x:c r="G35" s="18" t="str">
        <x:v>PROPOSED</x:v>
      </x:c>
      <x:c r="H35" s="18" t="str">
        <x:v>修改学号或身份字段后不能直接预约；原VERIFIED不得沿用。
После изменения идентификатора бронирование недоступно; прежний VERIFIED не сохраняется.</x:v>
      </x:c>
      <x:c r="I35" s="18" t="str">
        <x:v>G-003</x:v>
      </x:c>
      <x:c r="J35" s="18" t="str">
        <x:v>MVP</x:v>
      </x:c>
      <x:c r="K35" s="18" t="str"/>
    </x:row>
    <x:row r="36" ht="72" customHeight="1">
      <x:c r="A36" s="13" t="str">
        <x:v>SP-FR-022</x:v>
      </x:c>
      <x:c r="B36" s="14" t="str">
        <x:v>FR</x:v>
      </x:c>
      <x:c r="C36" s="14" t="str">
        <x:v>人工校内审核
Ручная проверка вуза</x:v>
      </x:c>
      <x:c r="D36" s="14" t="str">
        <x:v>系统应允许管理员依据可信学校来源将PENDING学生审核为VERIFIED或REJECTED，并记录来源引用与审核信息。
Администратор по доверенному источнику вуза переводит PENDING в VERIFIED либо REJECTED с ссылкой и данными проверки.</x:v>
      </x:c>
      <x:c r="E36" s="14" t="str">
        <x:v>docs/data/requirements.json: FR-022, BR-006</x:v>
      </x:c>
      <x:c r="F36" s="14" t="str">
        <x:v>Must</x:v>
      </x:c>
      <x:c r="G36" s="14" t="str">
        <x:v>PROPOSED</x:v>
      </x:c>
      <x:c r="H36" s="14" t="str">
        <x:v>无真实可信来源时不得通过；记录审核人、时间和决定；拒绝后可申请复核。
Без фактического доверенного источника успех запрещён; записаны проверяющий, время и решение; после отказа возможна повторная заявка.</x:v>
      </x:c>
      <x:c r="I36" s="14" t="str">
        <x:v>G-003</x:v>
      </x:c>
      <x:c r="J36" s="14" t="str">
        <x:v>MVP</x:v>
      </x:c>
      <x:c r="K36" s="14" t="str"/>
    </x:row>
    <x:row r="37" ht="57" customHeight="1">
      <x:c r="A37" s="17" t="str">
        <x:v>SP-FR-023</x:v>
      </x:c>
      <x:c r="B37" s="18" t="str">
        <x:v>FR</x:v>
      </x:c>
      <x:c r="C37" s="18" t="str">
        <x:v>创建数统计
Число созданных записей</x:v>
      </x:c>
      <x:c r="D37" s="18" t="str">
        <x:v>系统应按预约业务日期D及统一as_of统计created_at≤as_of的累计创建数。
По деловой дате D и общему as_of система считает записи с created_at≤as_of.</x:v>
      </x:c>
      <x:c r="E37" s="18" t="str">
        <x:v>docs/data/requirements.json: FR-016</x:v>
      </x:c>
      <x:c r="F37" s="18" t="str">
        <x:v>Must</x:v>
      </x:c>
      <x:c r="G37" s="18" t="str">
        <x:v>PROPOSED</x:v>
      </x:c>
      <x:c r="H37" s="18" t="str">
        <x:v>固定合成数据手工计数与结果一致，未来业务日期按D分别统计。
Результат совпадает с ручным подсчётом тестовых данных; будущие даты учитываются отдельно по D.</x:v>
      </x:c>
      <x:c r="I37" s="18" t="str">
        <x:v>G-004</x:v>
      </x:c>
      <x:c r="J37" s="18" t="str">
        <x:v>MVP</x:v>
      </x:c>
      <x:c r="K37" s="18" t="str"/>
    </x:row>
    <x:row r="38" ht="57" customHeight="1">
      <x:c r="A38" s="13" t="str">
        <x:v>SP-FR-024</x:v>
      </x:c>
      <x:c r="B38" s="14" t="str">
        <x:v>FR</x:v>
      </x:c>
      <x:c r="C38" s="14" t="str">
        <x:v>取消数统计
Число отменённых записей</x:v>
      </x:c>
      <x:c r="D38" s="14" t="str">
        <x:v>系统应按D及同一as_of统计canceled_at≤as_of的累计取消数。
По D и тому же as_of система считает записи с canceled_at≤as_of.</x:v>
      </x:c>
      <x:c r="E38" s="14" t="str">
        <x:v>docs/data/requirements.json: FR-016</x:v>
      </x:c>
      <x:c r="F38" s="14" t="str">
        <x:v>Must</x:v>
      </x:c>
      <x:c r="G38" s="14" t="str">
        <x:v>PROPOSED</x:v>
      </x:c>
      <x:c r="H38" s="14" t="str">
        <x:v>重复取消不重复计数；as_of之后发生的取消不计入该快照。
Повторная отмена не удваивает счётчик; отмена после as_of не входит в снимок.</x:v>
      </x:c>
      <x:c r="I38" s="14" t="str">
        <x:v>G-004</x:v>
      </x:c>
      <x:c r="J38" s="14" t="str">
        <x:v>MVP</x:v>
      </x:c>
      <x:c r="K38" s="14" t="str"/>
    </x:row>
    <x:row r="39" ht="57" customHeight="1">
      <x:c r="A39" s="17" t="str">
        <x:v>SP-FR-025</x:v>
      </x:c>
      <x:c r="B39" s="18" t="str">
        <x:v>FR</x:v>
      </x:c>
      <x:c r="C39" s="18" t="str">
        <x:v>未结束数统计
Число незавершённых записей</x:v>
      </x:c>
      <x:c r="D39" s="18" t="str">
        <x:v>系统应按D和as_of统计当时未取消且end&gt;as_of的记录，包括未来预约。
По D и as_of система считает неотменённые записи с end&gt;as_of, включая будущие.</x:v>
      </x:c>
      <x:c r="E39" s="18" t="str">
        <x:v>docs/data/requirements.json: FR-016</x:v>
      </x:c>
      <x:c r="F39" s="18" t="str">
        <x:v>Must</x:v>
      </x:c>
      <x:c r="G39" s="18" t="str">
        <x:v>PROPOSED</x:v>
      </x:c>
      <x:c r="H39" s="18" t="str">
        <x:v>未来有效记录计入，已结束与已取消排除；不据此推断到场或实际使用率。
Будущие действующие включаются, завершённые и отменённые исключаются; посещаемость и фактическая загрузка не выводятся.</x:v>
      </x:c>
      <x:c r="I39" s="18" t="str">
        <x:v>G-004</x:v>
      </x:c>
      <x:c r="J39" s="18" t="str">
        <x:v>MVP</x:v>
      </x:c>
      <x:c r="K39" s="18" t="str"/>
    </x:row>
    <x:row r="40" ht="57" customHeight="1">
      <x:c r="A40" s="13" t="str">
        <x:v>SP-FR-026</x:v>
      </x:c>
      <x:c r="B40" s="14" t="str">
        <x:v>FR</x:v>
      </x:c>
      <x:c r="C40" s="14" t="str">
        <x:v>创建首位管理员
Создание первого администратора</x:v>
      </x:c>
      <x:c r="D40" s="14" t="str">
        <x:v>系统应通过显式交互CLI创建首位管理员，禁止默认管理员密码和注册自授管理角色。
Первый администратор создаётся явной интерактивной CLI без пароля по умолчанию и повышения роли при регистрации.</x:v>
      </x:c>
      <x:c r="E40" s="14" t="str">
        <x:v>docs/data/requirements.json: FR-015, BR-006</x:v>
      </x:c>
      <x:c r="F40" s="14" t="str">
        <x:v>Must</x:v>
      </x:c>
      <x:c r="G40" s="14" t="str">
        <x:v>PROPOSED</x:v>
      </x:c>
      <x:c r="H40" s="14" t="str">
        <x:v>部署包中没有默认管理凭据；普通注册仍为STUDENT；CLI需要显式输入凭据。
Пакет не содержит исходных административных данных; регистрация остаётся STUDENT; CLI требует явного ввода.</x:v>
      </x:c>
      <x:c r="I40" s="14" t="str">
        <x:v>G-003, G-004</x:v>
      </x:c>
      <x:c r="J40" s="14" t="str">
        <x:v>MVP</x:v>
      </x:c>
      <x:c r="K40" s="14" t="str"/>
    </x:row>
    <x:row r="41" ht="57" customHeight="1">
      <x:c r="A41" s="17" t="str">
        <x:v>SP-FR-027</x:v>
      </x:c>
      <x:c r="B41" s="18" t="str">
        <x:v>FR</x:v>
      </x:c>
      <x:c r="C41" s="18" t="str">
        <x:v>预约提醒
Напоминания</x:v>
      </x:c>
      <x:c r="D41" s="18" t="str">
        <x:v>未来版本提供提醒；渠道、时机、同意与重试在开发前确认。
Будущий выпуск предоставляет напоминания; канал, момент, согласие и повторы согласуются до разработки.</x:v>
      </x:c>
      <x:c r="E41" s="18" t="str">
        <x:v>docs/data/requirements.json: FR-018</x:v>
      </x:c>
      <x:c r="F41" s="18" t="str">
        <x:v>Won’t</x:v>
      </x:c>
      <x:c r="G41" s="18" t="str">
        <x:v>PROPOSED</x:v>
      </x:c>
      <x:c r="H41" s="18" t="str">
        <x:v>本轮检查只验证登记为FUTURE且不进入MVP；后续验收须先有明确规则与样例。
В этом выпуске проверяется только FUTURE вне MVP; будущая приёмка сначала требует определённых правил и примеров.</x:v>
      </x:c>
      <x:c r="I41" s="18" t="str">
        <x:v>G-001</x:v>
      </x:c>
      <x:c r="J41" s="18" t="str">
        <x:v>FUTURE</x:v>
      </x:c>
      <x:c r="K41" s="18" t="str">
        <x:v>A-008</x:v>
      </x:c>
    </x:row>
    <x:row r="42" ht="57" customHeight="1">
      <x:c r="A42" s="13" t="str">
        <x:v>SP-FR-028</x:v>
      </x:c>
      <x:c r="B42" s="14" t="str">
        <x:v>FR</x:v>
      </x:c>
      <x:c r="C42" s="14" t="str">
        <x:v>QR签到
Отметка по QR</x:v>
      </x:c>
      <x:c r="D42" s="14" t="str">
        <x:v>未来版本提供QR签到；令牌期限、反重放和离线处理在开发前确认。
Будущий выпуск предоставляет отметку QR; срок токена, защита от повторов и офлайн-режим согласуются до разработки.</x:v>
      </x:c>
      <x:c r="E42" s="14" t="str">
        <x:v>docs/data/requirements.json: FR-019</x:v>
      </x:c>
      <x:c r="F42" s="14" t="str">
        <x:v>Won’t</x:v>
      </x:c>
      <x:c r="G42" s="14" t="str">
        <x:v>PROPOSED</x:v>
      </x:c>
      <x:c r="H42" s="14" t="str">
        <x:v>本轮检查只验证登记为FUTURE且不进入MVP；后续验收须先有明确规则与样例。
В этом выпуске проверяется только FUTURE вне MVP; будущая приёмка сначала требует определённых правил и примеров.</x:v>
      </x:c>
      <x:c r="I42" s="14" t="str">
        <x:v>G-001</x:v>
      </x:c>
      <x:c r="J42" s="14" t="str">
        <x:v>FUTURE</x:v>
      </x:c>
      <x:c r="K42" s="14" t="str">
        <x:v>A-008</x:v>
      </x:c>
    </x:row>
    <x:row r="43" ht="57" customHeight="1">
      <x:c r="A43" s="17" t="str">
        <x:v>SP-FR-029</x:v>
      </x:c>
      <x:c r="B43" s="18" t="str">
        <x:v>FR</x:v>
      </x:c>
      <x:c r="C43" s="18" t="str">
        <x:v>违约记录
Учёт нарушений</x:v>
      </x:c>
      <x:c r="D43" s="18" t="str">
        <x:v>未来版本提供违约记录；认定、申诉和保留期在开发前确认。
Будущий выпуск ведёт нарушения; критерии, оспаривание и срок хранения согласуются до разработки.</x:v>
      </x:c>
      <x:c r="E43" s="18" t="str">
        <x:v>docs/data/requirements.json: FR-020</x:v>
      </x:c>
      <x:c r="F43" s="18" t="str">
        <x:v>Won’t</x:v>
      </x:c>
      <x:c r="G43" s="18" t="str">
        <x:v>PROPOSED</x:v>
      </x:c>
      <x:c r="H43" s="18" t="str">
        <x:v>本轮检查只验证登记为FUTURE且不进入MVP；后续验收须先有明确规则与样例。
В этом выпуске проверяется только FUTURE вне MVP; будущая приёмка сначала требует определённых правил и примеров.</x:v>
      </x:c>
      <x:c r="I43" s="18" t="str">
        <x:v>G-004</x:v>
      </x:c>
      <x:c r="J43" s="18" t="str">
        <x:v>FUTURE</x:v>
      </x:c>
      <x:c r="K43" s="18" t="str">
        <x:v>A-008</x:v>
      </x:c>
    </x:row>
    <x:row r="44" ht="57" customHeight="1">
      <x:c r="A44" s="13" t="str">
        <x:v>SP-FR-030</x:v>
      </x:c>
      <x:c r="B44" s="14" t="str">
        <x:v>FR</x:v>
      </x:c>
      <x:c r="C44" s="14" t="str">
        <x:v>实际使用率
Фактическая загрузка</x:v>
      </x:c>
      <x:c r="D44" s="14" t="str">
        <x:v>未来版本计算使用率；实际占用数据与分母定义在开发前确认。
Будущий выпуск рассчитывает загрузку; данные фактического занятия и знаменатель согласуются до разработки.</x:v>
      </x:c>
      <x:c r="E44" s="14" t="str">
        <x:v>docs/data/requirements.json: FR-021</x:v>
      </x:c>
      <x:c r="F44" s="14" t="str">
        <x:v>Won’t</x:v>
      </x:c>
      <x:c r="G44" s="14" t="str">
        <x:v>PROPOSED</x:v>
      </x:c>
      <x:c r="H44" s="14" t="str">
        <x:v>本轮检查只验证登记为FUTURE且不进入MVP；后续验收须先有明确规则与样例。
В этом выпуске проверяется только FUTURE вне MVP; будущая приёмка сначала требует определённых правил и примеров.</x:v>
      </x:c>
      <x:c r="I44" s="14" t="str">
        <x:v>G-004</x:v>
      </x:c>
      <x:c r="J44" s="14" t="str">
        <x:v>FUTURE</x:v>
      </x:c>
      <x:c r="K44" s="14" t="str">
        <x:v>A-008</x:v>
      </x:c>
    </x:row>
    <x:row r="45" ht="57" customHeight="1">
      <x:c r="A45" s="17" t="str">
        <x:v>SP-FR-031</x:v>
      </x:c>
      <x:c r="B45" s="18" t="str">
        <x:v>FR</x:v>
      </x:c>
      <x:c r="C45" s="18" t="str">
        <x:v>管理员维护账号角色
Назначение ролей администратором</x:v>
      </x:c>
      <x:c r="D45" s="18" t="str">
        <x:v>系统应仅允许管理员按授权策略维护账号角色，角色变更不得自动改变启停或校内审核状态。
Только администратор меняет роли по разрешённой политике; изменение роли автоматически не меняет активность или проверку вуза.</x:v>
      </x:c>
      <x:c r="E45" s="18" t="str">
        <x:v>docs/data/requirements.json: FR-015, BR-006</x:v>
      </x:c>
      <x:c r="F45" s="18" t="str">
        <x:v>Must</x:v>
      </x:c>
      <x:c r="G45" s="18" t="str">
        <x:v>PROPOSED</x:v>
      </x:c>
      <x:c r="H45" s="18" t="str">
        <x:v>学生提交角色变更被拒绝；管理员变更保存审计；将未核验账号设为STUDENT仍不可预约。
Изменение студентом запрещено; изменение администратора аудируется; назначение STUDENT неподтверждённому аккаунту не разрешает бронирование.</x:v>
      </x:c>
      <x:c r="I45" s="18" t="str">
        <x:v>G-003, G-004</x:v>
      </x:c>
      <x:c r="J45" s="18" t="str">
        <x:v>MVP</x:v>
      </x:c>
      <x:c r="K45" s="18" t="str"/>
    </x:row>
    <x:row r="46" ht="57" customHeight="1">
      <x:c r="A46" s="13" t="str">
        <x:v>SP-NFR-001</x:v>
      </x:c>
      <x:c r="B46" s="14" t="str">
        <x:v>NFR</x:v>
      </x:c>
      <x:c r="C46" s="14" t="str">
        <x:v>可重复构建
Воспроизводимая сборка</x:v>
      </x:c>
      <x:c r="D46" s="14" t="str">
        <x:v>项目应在干净环境按锁文件和README完成后端检查、前端类型检查与生产构建。
В чистой среде по lock-файлам и README выполняются проверки сервера, типов клиента и производственная сборка.</x:v>
      </x:c>
      <x:c r="E46" s="14" t="str">
        <x:v>docs/data/requirements.json: NFR-001</x:v>
      </x:c>
      <x:c r="F46" s="14" t="str">
        <x:v>Must</x:v>
      </x:c>
      <x:c r="G46" s="14" t="str">
        <x:v>PROPOSED</x:v>
      </x:c>
      <x:c r="H46" s="14" t="str">
        <x:v>记录运行时版本、命令与退出码；检查均退出0且不手工改依赖才能通过。
Записать версии среды, команды и коды; проверки завершаются 0 без ручной правки зависимостей.</x:v>
      </x:c>
      <x:c r="I46" s="14" t="str">
        <x:v>G-005</x:v>
      </x:c>
      <x:c r="J46" s="14" t="str">
        <x:v>MVP</x:v>
      </x:c>
      <x:c r="K46" s="14" t="str"/>
    </x:row>
    <x:row r="47" ht="57" customHeight="1">
      <x:c r="A47" s="17" t="str">
        <x:v>SP-NFR-002</x:v>
      </x:c>
      <x:c r="B47" s="18" t="str">
        <x:v>NFR</x:v>
      </x:c>
      <x:c r="C47" s="18" t="str">
        <x:v>查询性能
Производительность поиска</x:v>
      </x:c>
      <x:c r="D47" s="18" t="str">
        <x:v>空位查询应在A-001负载与环境下达到P95≤2秒，意外服务/传输错误率&lt;1%。
Поиск свободных мест в среде и нагрузке A-001 имеет P95≤2 с и неожиданные ошибки сервиса/транспорта&lt;1%.</x:v>
      </x:c>
      <x:c r="E47" s="18" t="str">
        <x:v>docs/data/requirements.json: NFR-002</x:v>
      </x:c>
      <x:c r="F47" s="18" t="str">
        <x:v>Should</x:v>
      </x:c>
      <x:c r="G47" s="18" t="str">
        <x:v>PROPOSED</x:v>
      </x:c>
      <x:c r="H47" s="18" t="str">
        <x:v>按A-001采集耗时和错误，报告P95、样本量、环境及冲突拒绝；目前NOT_RUN。
Измерить по A-001 и сообщить P95, выборку, среду и отказы по конфликту; сейчас NOT_RUN.</x:v>
      </x:c>
      <x:c r="I47" s="18" t="str">
        <x:v>G-001, G-005</x:v>
      </x:c>
      <x:c r="J47" s="18" t="str">
        <x:v>MVP</x:v>
      </x:c>
      <x:c r="K47" s="18" t="str">
        <x:v>A-001</x:v>
      </x:c>
    </x:row>
    <x:row r="48" ht="57" customHeight="1">
      <x:c r="A48" s="13" t="str">
        <x:v>SP-NFR-003</x:v>
      </x:c>
      <x:c r="B48" s="14" t="str">
        <x:v>NFR</x:v>
      </x:c>
      <x:c r="C48" s="14" t="str">
        <x:v>秘密与身份日志保护
Защита секретов и идентификаторов в логах</x:v>
      </x:c>
      <x:c r="D48" s="14" t="str">
        <x:v>运行与审核日志不得包含密码、token、证明影像或复制的学号与姓名。
Журналы работы и проверки не содержат пароли, token, изображения доказательств или копии номера и имени.</x:v>
      </x:c>
      <x:c r="E48" s="14" t="str">
        <x:v>docs/data/requirements.json: NFR-003, NFR-007</x:v>
      </x:c>
      <x:c r="F48" s="14" t="str">
        <x:v>Must</x:v>
      </x:c>
      <x:c r="G48" s="14" t="str">
        <x:v>PROPOSED</x:v>
      </x:c>
      <x:c r="H48" s="14" t="str">
        <x:v>输入带唯一标记的测试密码和身份字段，执行成功与失败场景，搜索日志无该标记。
Ввести тестовые секреты и идентификаторы с уникальными маркерами, выполнить успех и отказ; маркеров в логах нет.</x:v>
      </x:c>
      <x:c r="I48" s="14" t="str">
        <x:v>G-003</x:v>
      </x:c>
      <x:c r="J48" s="14" t="str">
        <x:v>MVP</x:v>
      </x:c>
      <x:c r="K48" s="14" t="str"/>
    </x:row>
    <x:row r="49" ht="87" customHeight="1">
      <x:c r="A49" s="17" t="str">
        <x:v>SP-NFR-004</x:v>
      </x:c>
      <x:c r="B49" s="18" t="str">
        <x:v>NFR</x:v>
      </x:c>
      <x:c r="C49" s="18" t="str">
        <x:v>事务原子性与并发
Атомарность и конкуренция</x:v>
      </x:c>
      <x:c r="D49" s="18" t="str">
        <x:v>冲突校验、锁后时刻判定和创建预约应在同一事务中完成。
Проверка конфликта, определение времени после блокировки и создание выполняются одной транзакцией.</x:v>
      </x:c>
      <x:c r="E49" s="18" t="str">
        <x:v>docs/data/requirements.json: NFR-004, FR-008</x:v>
      </x:c>
      <x:c r="F49" s="18" t="str">
        <x:v>Must</x:v>
      </x:c>
      <x:c r="G49" s="18" t="str">
        <x:v>PROPOSED</x:v>
      </x:c>
      <x:c r="H49" s="18" t="str">
        <x:v>100个不同请求并发争用同一空座位同一时段恰1成功；不重叠申请均可成功；异常回滚无半写入。
Из 100 разных конкурентных заявок на одно свободное место и интервал ровно одна успешна; непересекающиеся допускаются; сбой не оставляет частичной записи.</x:v>
      </x:c>
      <x:c r="I49" s="18" t="str">
        <x:v>G-002</x:v>
      </x:c>
      <x:c r="J49" s="18" t="str">
        <x:v>MVP</x:v>
      </x:c>
      <x:c r="K49" s="18" t="str"/>
    </x:row>
    <x:row r="50" ht="57" customHeight="1">
      <x:c r="A50" s="13" t="str">
        <x:v>SP-NFR-005</x:v>
      </x:c>
      <x:c r="B50" s="14" t="str">
        <x:v>NFR</x:v>
      </x:c>
      <x:c r="C50" s="14" t="str">
        <x:v>迁移保持数据语义
Сохранение смысла данных при миграции</x:v>
      </x:c>
      <x:c r="D50" s="14" t="str">
        <x:v>数据库迁移后，应保持合成业务记录的主键、关联、时区含义和冲突约束。
После миграции сохраняются ключи, связи, смысл временных зон и ограничения конфликтов тестовых бизнес-записей.</x:v>
      </x:c>
      <x:c r="E50" s="14" t="str">
        <x:v>docs/data/requirements.json: NFR-005</x:v>
      </x:c>
      <x:c r="F50" s="14" t="str">
        <x:v>Should</x:v>
      </x:c>
      <x:c r="G50" s="14" t="str">
        <x:v>PROPOSED</x:v>
      </x:c>
      <x:c r="H50" s="14" t="str">
        <x:v>迁移前后逐表计数与主键集合相同；同一边界及冲突用例结果相同；记录回滚结果。
Сверить количества и ключи каждой таблицы, результаты границ и конфликтов; записать результат отката.</x:v>
      </x:c>
      <x:c r="I50" s="14" t="str">
        <x:v>G-002, G-005</x:v>
      </x:c>
      <x:c r="J50" s="14" t="str">
        <x:v>MVP</x:v>
      </x:c>
      <x:c r="K50" s="14" t="str"/>
    </x:row>
    <x:row r="51" ht="72" customHeight="1">
      <x:c r="A51" s="17" t="str">
        <x:v>SP-NFR-006</x:v>
      </x:c>
      <x:c r="B51" s="18" t="str">
        <x:v>NFR</x:v>
      </x:c>
      <x:c r="C51" s="18" t="str">
        <x:v>多语言布局可用
Удобство многоязычного интерфейса</x:v>
      </x:c>
      <x:c r="D51" s="18" t="str">
        <x:v>中俄英业务界面应在375px视口下保持操作可达、文本可读且页面无横向溢出。
Китайский, русский и английский бизнес-интерфейс при ширине 375 px сохраняет доступность действий и читаемость без горизонтального переполнения страницы.</x:v>
      </x:c>
      <x:c r="E51" s="18" t="str">
        <x:v>docs/data/requirements.json: NFR-006</x:v>
      </x:c>
      <x:c r="F51" s="18" t="str">
        <x:v>Should</x:v>
      </x:c>
      <x:c r="G51" s="18" t="str">
        <x:v>PROPOSED</x:v>
      </x:c>
      <x:c r="H51" s="18" t="str">
        <x:v>对预约、取消和审核页面在三语及目标浏览器逐页检查；仅首页检查不能替代。
Проверить бронирование, отмену и проверку вуза в трёх языках и целевых браузерах; проверка стартовой страницы не заменяет бизнес-экраны.</x:v>
      </x:c>
      <x:c r="I51" s="18" t="str">
        <x:v>G-001, G-005</x:v>
      </x:c>
      <x:c r="J51" s="18" t="str">
        <x:v>MVP</x:v>
      </x:c>
      <x:c r="K51" s="18" t="str"/>
    </x:row>
    <x:row r="52" ht="57" customHeight="1">
      <x:c r="A52" s="13" t="str">
        <x:v>SP-NFR-007</x:v>
      </x:c>
      <x:c r="B52" s="14" t="str">
        <x:v>NFR</x:v>
      </x:c>
      <x:c r="C52" s="14" t="str">
        <x:v>运行诊断
Диагностика работы</x:v>
      </x:c>
      <x:c r="D52" s="14" t="str">
        <x:v>健康与就绪接口应区分进程可访问与数据库依赖可用，并不暴露秘密。
Проверки работоспособности и готовности различают доступность процесса и зависимости БД и не раскрывают секретов.</x:v>
      </x:c>
      <x:c r="E52" s="14" t="str">
        <x:v>docs/data/requirements.json: NFR-007</x:v>
      </x:c>
      <x:c r="F52" s="14" t="str">
        <x:v>Must</x:v>
      </x:c>
      <x:c r="G52" s="14" t="str">
        <x:v>PROPOSED</x:v>
      </x:c>
      <x:c r="H52" s="14" t="str">
        <x:v>在数据库可用与不可用情境核对约定状态；响应与日志无连接密码或token。
При доступной и недоступной БД проверить предусмотренные состояния; ответы и логи не содержат пароли и token.</x:v>
      </x:c>
      <x:c r="I52" s="14" t="str">
        <x:v>G-005</x:v>
      </x:c>
      <x:c r="J52" s="14" t="str">
        <x:v>MVP</x:v>
      </x:c>
      <x:c r="K52" s="14" t="str"/>
    </x:row>
    <x:row r="53" ht="72" customHeight="1">
      <x:c r="A53" s="17" t="str">
        <x:v>SP-NFR-008</x:v>
      </x:c>
      <x:c r="B53" s="18" t="str">
        <x:v>NFR</x:v>
      </x:c>
      <x:c r="C53" s="18" t="str">
        <x:v>双语文档一致
Согласованность двуязычных документов</x:v>
      </x:c>
      <x:c r="D53" s="18" t="str">
        <x:v>对应中文与俄语文档应保持相同编号、版本、章节、需求ID和追踪关系。
Китайская и русская пары имеют одинаковые номера, версии, разделы, ID требований и связи.</x:v>
      </x:c>
      <x:c r="E53" s="18" t="str">
        <x:v>docs/data/requirements.json: NFR-008</x:v>
      </x:c>
      <x:c r="F53" s="18" t="str">
        <x:v>Must</x:v>
      </x:c>
      <x:c r="G53" s="18" t="str">
        <x:v>PROPOSED</x:v>
      </x:c>
      <x:c r="H53" s="18" t="str">
        <x:v>结构校验无差异；逐条审阅两语的主体、条件、数字与结果；成员签名仍待实际评审。
Структурная проверка без расхождений; сверить субъект, условия, числа и результат двух языков; подпись участника требует фактического рассмотрения.</x:v>
      </x:c>
      <x:c r="I53" s="18" t="str">
        <x:v>G-005</x:v>
      </x:c>
      <x:c r="J53" s="18" t="str">
        <x:v>MVP</x:v>
      </x:c>
      <x:c r="K53" s="18" t="str"/>
    </x:row>
    <x:row r="54" ht="87" customHeight="1">
      <x:c r="A54" s="13" t="str">
        <x:v>SP-NFR-009</x:v>
      </x:c>
      <x:c r="B54" s="14" t="str">
        <x:v>NFR</x:v>
      </x:c>
      <x:c r="C54" s="14" t="str">
        <x:v>密码非明文存储
Хранение пароля без открытого текста</x:v>
      </x:c>
      <x:c r="D54" s="14" t="str">
        <x:v>系统应使用经技术评审的带盐密码哈希保存凭据，不保存明文或可直接解密的密码。
Система сохраняет пароли как рассмотренные технически хеши с солью, без открытого текста или обратимого шифрования.</x:v>
      </x:c>
      <x:c r="E54" s="14" t="str">
        <x:v>docs/data/requirements.json: NFR-003</x:v>
      </x:c>
      <x:c r="F54" s="14" t="str">
        <x:v>Must</x:v>
      </x:c>
      <x:c r="G54" s="14" t="str">
        <x:v>PROPOSED</x:v>
      </x:c>
      <x:c r="H54" s="14" t="str">
        <x:v>检查合成账号数据库无输入密码；相同测试密码的不同账号存储值不同，登录仍可正确验证；具体算法先评审。
В тестовой БД нет введённого пароля; одинаковые пароли двух аккаунтов дают разные значения, вход проверяется правильно; алгоритм сначала рассматривается.</x:v>
      </x:c>
      <x:c r="I54" s="14" t="str">
        <x:v>G-003</x:v>
      </x:c>
      <x:c r="J54" s="14" t="str">
        <x:v>MVP</x:v>
      </x:c>
      <x:c r="K54" s="14" t="str"/>
    </x:row>
    <x:row r="55" ht="72" customHeight="1">
      <x:c r="A55" s="17" t="str">
        <x:v>SP-NFR-010</x:v>
      </x:c>
      <x:c r="B55" s="18" t="str">
        <x:v>NFR</x:v>
      </x:c>
      <x:c r="C55" s="18" t="str">
        <x:v>服务器输入校验
Проверка входных данных сервером</x:v>
      </x:c>
      <x:c r="D55" s="18" t="str">
        <x:v>服务器应对账号、资源和预约请求校验字段类型、必填值与业务边界，无效请求不得写入业务记录。
Сервер проверяет типы, обязательные значения и бизнес-границы аккаунтов, ресурсов и бронирований; неверный запрос не записывает бизнес-данные.</x:v>
      </x:c>
      <x:c r="E55" s="18" t="str">
        <x:v>docs/data/requirements.json: NFR-003</x:v>
      </x:c>
      <x:c r="F55" s="18" t="str">
        <x:v>Must</x:v>
      </x:c>
      <x:c r="G55" s="18" t="str">
        <x:v>PROPOSED</x:v>
      </x:c>
      <x:c r="H55" s="18" t="str">
        <x:v>直接发送缺字段、错误类型、非法时间和超长分页请求均得到明确错误且数据库无新增；错误结构按A-006。
Прямые запросы с пропусками, неверным типом, временем или размером страницы дают явную ошибку без новых записей; структура по A-006.</x:v>
      </x:c>
      <x:c r="I55" s="18" t="str">
        <x:v>G-002, G-003</x:v>
      </x:c>
      <x:c r="J55" s="18" t="str">
        <x:v>MVP</x:v>
      </x:c>
      <x:c r="K55" s="18" t="str">
        <x:v>A-006</x:v>
      </x:c>
    </x:row>
    <x:row r="56" ht="57" customHeight="1">
      <x:c r="A56" s="13" t="str">
        <x:v>SP-IF-001</x:v>
      </x:c>
      <x:c r="B56" s="14" t="str">
        <x:v>IF</x:v>
      </x:c>
      <x:c r="C56" s="14" t="str">
        <x:v>业务API约定
Контракт бизнес-API</x:v>
      </x:c>
      <x:c r="D56" s="14" t="str">
        <x:v>浏览器与后端应按同一业务接口约定交换JSON请求和响应，错误结构按A-006候选设计。
Браузер и сервер обмениваются JSON по единому контракту; ошибки предлагаются по A-006.</x:v>
      </x:c>
      <x:c r="E56" s="14" t="str">
        <x:v>docs/data/requirements.json: FR-007, FR-009, FR-010</x:v>
      </x:c>
      <x:c r="F56" s="14" t="str">
        <x:v>Must</x:v>
      </x:c>
      <x:c r="G56" s="14" t="str">
        <x:v>PROPOSED</x:v>
      </x:c>
      <x:c r="H56" s="14" t="str">
        <x:v>合同测试覆盖成功、未授权、无效时段和冲突；请求/响应样例与OpenAPI一致。
Контрактные тесты охватывают успех, отсутствие доступа, неверное время и конфликт; примеры совпадают с OpenAPI.</x:v>
      </x:c>
      <x:c r="I56" s="14" t="str">
        <x:v>G-001, G-003</x:v>
      </x:c>
      <x:c r="J56" s="14" t="str">
        <x:v>MVP</x:v>
      </x:c>
      <x:c r="K56" s="14" t="str">
        <x:v>A-006</x:v>
      </x:c>
    </x:row>
    <x:row r="57" ht="57" customHeight="1">
      <x:c r="A57" s="17" t="str">
        <x:v>SP-IF-002</x:v>
      </x:c>
      <x:c r="B57" s="18" t="str">
        <x:v>IF</x:v>
      </x:c>
      <x:c r="C57" s="18" t="str">
        <x:v>可信学校核验来源
Доверенный источник вуза</x:v>
      </x:c>
      <x:c r="D57" s="18" t="str">
        <x:v>人工审核接口应记录经学校确认的来源引用；来源未定或不可验证时不能批准身份。
Интерфейс ручной проверки записывает ссылку на подтверждённый вузом источник; неизвестный или непроверяемый источник не допускает подтверждение.</x:v>
      </x:c>
      <x:c r="E57" s="18" t="str">
        <x:v>docs/data/requirements.json: FR-022</x:v>
      </x:c>
      <x:c r="F57" s="18" t="str">
        <x:v>Must</x:v>
      </x:c>
      <x:c r="G57" s="18" t="str">
        <x:v>PROPOSED</x:v>
      </x:c>
      <x:c r="H57" s="18" t="str">
        <x:v>OPEN-003未闭合时保持PENDING或REJECTED；不编造已接入SSO、邮箱域名或学校名单。
До решения OPEN-003 сохраняется PENDING либо REJECTED; подключение SSO, домен почты или список вуза не выдумываются.</x:v>
      </x:c>
      <x:c r="I57" s="18" t="str">
        <x:v>G-003</x:v>
      </x:c>
      <x:c r="J57" s="18" t="str">
        <x:v>MVP</x:v>
      </x:c>
      <x:c r="K57" s="18" t="str"/>
    </x:row>
    <x:row r="58" ht="57" customHeight="1">
      <x:c r="A58" s="13" t="str">
        <x:v>SP-DR-001</x:v>
      </x:c>
      <x:c r="B58" s="14" t="str">
        <x:v>DR</x:v>
      </x:c>
      <x:c r="C58" s="14" t="str">
        <x:v>最少必要数据
Минимальные необходимые данные</x:v>
      </x:c>
      <x:c r="D58" s="14" t="str">
        <x:v>系统应保存所需账号标识、资源、预约和审核事件，不保存校内证明影像。
Система хранит необходимые идентификаторы аккаунта, ресурсы, бронирования и события проверки без изображений подтверждения вуза.</x:v>
      </x:c>
      <x:c r="E58" s="14" t="str">
        <x:v>docs/data/requirements.json: FR-001, NFR-003, BR-006</x:v>
      </x:c>
      <x:c r="F58" s="14" t="str">
        <x:v>Must</x:v>
      </x:c>
      <x:c r="G58" s="14" t="str">
        <x:v>PROPOSED</x:v>
      </x:c>
      <x:c r="H58" s="14" t="str">
        <x:v>字段清单与数据模型对应；证明影像字段和重复身份日志副本不存在。
Список полей совпадает с моделью; полей изображения и повторных копий идентификаторов в журнале нет.</x:v>
      </x:c>
      <x:c r="I58" s="14" t="str">
        <x:v>G-003</x:v>
      </x:c>
      <x:c r="J58" s="14" t="str">
        <x:v>MVP</x:v>
      </x:c>
      <x:c r="K58" s="14" t="str"/>
    </x:row>
    <x:row r="59" ht="57" customHeight="1">
      <x:c r="A59" s="17" t="str">
        <x:v>SP-DR-002</x:v>
      </x:c>
      <x:c r="B59" s="18" t="str">
        <x:v>DR</x:v>
      </x:c>
      <x:c r="C59" s="18" t="str">
        <x:v>保留与身份清理
Хранение и очистка идентификаторов</x:v>
      </x:c>
      <x:c r="D59" s="18" t="str">
        <x:v>预约从终结起、审核日志从事件起保留180天；不可逆身份清除须满足DEC-007的较晚时点。
Бронирования хранятся 180 дней от завершения, аудит от события; необратимое удаление идентификаторов учитывает более поздний срок DEC-007.</x:v>
      </x:c>
      <x:c r="E59" s="18" t="str">
        <x:v>docs/data/requirements.json: FR-010, NFR-007, BR-007</x:v>
      </x:c>
      <x:c r="F59" s="18" t="str">
        <x:v>Must</x:v>
      </x:c>
      <x:c r="G59" s="18" t="str">
        <x:v>PROPOSED</x:v>
      </x:c>
      <x:c r="H59" s="18" t="str">
        <x:v>在180天前、恰到期、后验证清理；关联记录未到期时身份映射不得提前清除。
Проверить до, в момент и после 180 дней; до истечения связанных записей идентификаторы не удаляются преждевременно.</x:v>
      </x:c>
      <x:c r="I59" s="18" t="str">
        <x:v>G-003, G-005</x:v>
      </x:c>
      <x:c r="J59" s="18" t="str">
        <x:v>MVP</x:v>
      </x:c>
      <x:c r="K59" s="18" t="str"/>
    </x:row>
    <x:row r="60" ht="57" customHeight="1">
      <x:c r="A60" s="13" t="str">
        <x:v>SP-DR-003</x:v>
      </x:c>
      <x:c r="B60" s="14" t="str">
        <x:v>DR</x:v>
      </x:c>
      <x:c r="C60" s="14" t="str">
        <x:v>备份与恢复清理
Резервные копии и очистка восстановления</x:v>
      </x:c>
      <x:c r="D60" s="14" t="str">
        <x:v>系统应每日保留最近7份备份，恢复后先清理到期数据再开放服务。
Система ежедневно хранит последние 7 копий и после восстановления очищает истёкшие данные до открытия сервиса.</x:v>
      </x:c>
      <x:c r="E60" s="14" t="str">
        <x:v>docs/data/requirements.json: NFR-007</x:v>
      </x:c>
      <x:c r="F60" s="14" t="str">
        <x:v>Must</x:v>
      </x:c>
      <x:c r="G60" s="14" t="str">
        <x:v>PROPOSED</x:v>
      </x:c>
      <x:c r="H60" s="14" t="str">
        <x:v>第8份生成后只保留最近7份；恢复含过期数据备份，开放前完成清理。
После восьмой копии остаются последние семь; восстановленные истёкшие данные очищены до открытия.</x:v>
      </x:c>
      <x:c r="I60" s="14" t="str">
        <x:v>G-003, G-005</x:v>
      </x:c>
      <x:c r="J60" s="14" t="str">
        <x:v>MVP</x:v>
      </x:c>
      <x:c r="K60" s="14" t="str"/>
    </x:row>
    <x:row r="61" ht="57" customHeight="1">
      <x:c r="A61" s="17" t="str">
        <x:v>SP-C-001</x:v>
      </x:c>
      <x:c r="B61" s="18" t="str">
        <x:v>C</x:v>
      </x:c>
      <x:c r="C61" s="18" t="str">
        <x:v>单座位与时段互斥
Одно место и исключение пересечения</x:v>
      </x:c>
      <x:c r="D61" s="18" t="str">
        <x:v>每条预约仅含一个Seat，同一学生的未取消预约不得重叠，非重叠多条及相邻时段允许。
Одна запись содержит один Seat; неотменённые интервалы студента не пересекаются, несколько непересекающихся и соседних разрешены.</x:v>
      </x:c>
      <x:c r="E61" s="18" t="str">
        <x:v>docs/data/requirements.json: FR-017, BR-002, BR-004</x:v>
      </x:c>
      <x:c r="F61" s="18" t="str">
        <x:v>Must</x:v>
      </x:c>
      <x:c r="G61" s="18" t="str">
        <x:v>PROPOSED</x:v>
      </x:c>
      <x:c r="H61" s="18" t="str">
        <x:v>同user不同seat重叠拒绝；非重叠同日、未来不同日均允许，不设全局预约总数上限。
Один user на разных местах с пересечением запрещён; непересекающиеся одного и разных дней разрешены без общего лимита.</x:v>
      </x:c>
      <x:c r="I61" s="18" t="str">
        <x:v>G-002</x:v>
      </x:c>
      <x:c r="J61" s="18" t="str">
        <x:v>MVP</x:v>
      </x:c>
      <x:c r="K61" s="18" t="str"/>
    </x:row>
    <x:row r="62" ht="57" customHeight="1">
      <x:c r="A62" s="13" t="str">
        <x:v>SP-C-002</x:v>
      </x:c>
      <x:c r="B62" s="14" t="str">
        <x:v>C</x:v>
      </x:c>
      <x:c r="C62" s="14" t="str">
        <x:v>时间表示与边界
Представление и границы времени</x:v>
      </x:c>
      <x:c r="D62" s="14" t="str">
        <x:v>业务时间按Asia/Shanghai解释，UTC存储；区间为[start,end)，开始严格晚于锁后now。
Время трактуется в Asia/Shanghai и хранится UTC; интервал [start,end), начало строго позже now после блокировок.</x:v>
      </x:c>
      <x:c r="E62" s="14" t="str">
        <x:v>docs/data/requirements.json: BR-001, BR-008</x:v>
      </x:c>
      <x:c r="F62" s="14" t="str">
        <x:v>Must</x:v>
      </x:c>
      <x:c r="G62" s="14" t="str">
        <x:v>PROPOSED</x:v>
      </x:c>
      <x:c r="H62" s="14" t="str">
        <x:v>start=now拒绝；相邻区间不冲突；设备时区更改不改变业务日期。
start=now запрещено, соседние интервалы не конфликтуют; пояс устройства не меняет деловую дату.</x:v>
      </x:c>
      <x:c r="I62" s="14" t="str">
        <x:v>G-002</x:v>
      </x:c>
      <x:c r="J62" s="14" t="str">
        <x:v>MVP</x:v>
      </x:c>
      <x:c r="K62" s="14" t="str"/>
    </x:row>
    <x:row r="63" ht="72" customHeight="1">
      <x:c r="A63" s="17" t="str">
        <x:v>SP-C-003</x:v>
      </x:c>
      <x:c r="B63" s="18" t="str">
        <x:v>C</x:v>
      </x:c>
      <x:c r="C63" s="18" t="str">
        <x:v>开放与预约窗口
Часы и горизонт бронирования</x:v>
      </x:c>
      <x:c r="D63" s="18" t="str">
        <x:v>默认08:00–22:00，步长和最短时长30分钟；预约日为今天至+6且在同一业务日，时长硬上限24小时。
По умолчанию 08:00–22:00, шаг и минимум 30 минут; дата сегодня…+6 внутри одного делового дня, жёсткий максимум 24 часа.</x:v>
      </x:c>
      <x:c r="E63" s="18" t="str">
        <x:v>docs/data/requirements.json: FR-005, BR-001, BR-003, BR-004, BR-008</x:v>
      </x:c>
      <x:c r="F63" s="18" t="str">
        <x:v>Must</x:v>
      </x:c>
      <x:c r="G63" s="18" t="str">
        <x:v>PROPOSED</x:v>
      </x:c>
      <x:c r="H63" s="18" t="str">
        <x:v>第+6日合法，第+7日拒绝；默认最长14h；仅全天开放配置允许24h结束在次日00:00。
День +6 допустим, +7 запрещён; обычно максимум 14 ч; только круглосуточные часы допускают 24 ч до следующей 00:00.</x:v>
      </x:c>
      <x:c r="I63" s="18" t="str">
        <x:v>G-002</x:v>
      </x:c>
      <x:c r="J63" s="18" t="str">
        <x:v>MVP</x:v>
      </x:c>
      <x:c r="K63" s="18" t="str"/>
    </x:row>
    <x:row r="64" ht="57" customHeight="1">
      <x:c r="A64" s="13" t="str">
        <x:v>SP-C-004</x:v>
      </x:c>
      <x:c r="B64" s="14" t="str">
        <x:v>C</x:v>
      </x:c>
      <x:c r="C64" s="14" t="str">
        <x:v>语言范围
Языковой объём</x:v>
      </x:c>
      <x:c r="D64" s="14" t="str">
        <x:v>业务界面采用zh-CN、ru-RU、en-US，正式文档采用中文和俄语对应版本。
Бизнес-интерфейс использует zh-CN, ru-RU, en-US; официальные документы имеют китайскую и русскую пары.</x:v>
      </x:c>
      <x:c r="E64" s="14" t="str">
        <x:v>docs/data/requirements.json: NFR-006, NFR-008</x:v>
      </x:c>
      <x:c r="F64" s="14" t="str">
        <x:v>Must</x:v>
      </x:c>
      <x:c r="G64" s="14" t="str">
        <x:v>PROPOSED</x:v>
      </x:c>
      <x:c r="H64" s="14" t="str">
        <x:v>三语同一操作的业务条件、状态和时间一致；正式文档两语编号一致。
Условия, состояния и время одной операции одинаковы в трёх языках; номера двух языков документов совпадают.</x:v>
      </x:c>
      <x:c r="I64" s="14" t="str">
        <x:v>G-001, G-005</x:v>
      </x:c>
      <x:c r="J64" s="14" t="str">
        <x:v>MVP</x:v>
      </x:c>
      <x:c r="K64" s="14" t="str"/>
    </x:row>
    <x:row r="65" ht="72" customHeight="1">
      <x:c r="A65" s="17" t="str">
        <x:v>SP-C-005</x:v>
      </x:c>
      <x:c r="B65" s="18" t="str">
        <x:v>C</x:v>
      </x:c>
      <x:c r="C65" s="18" t="str">
        <x:v>工程技术选择
Выбранные технологии</x:v>
      </x:c>
      <x:c r="D65" s="18" t="str">
        <x:v>课程项目沿用模块化单体、React与FastAPI、开发SQLite和部署候选PostgreSQL，保留锁文件。
Учебный проект сохраняет модульный монолит, React и FastAPI, SQLite разработки и кандидат PostgreSQL для размещения, а также lock-файлы.</x:v>
      </x:c>
      <x:c r="E65" s="18" t="str">
        <x:v>docs/data/requirements.json: NFR-001, NFR-005</x:v>
      </x:c>
      <x:c r="F65" s="18" t="str">
        <x:v>Must</x:v>
      </x:c>
      <x:c r="G65" s="18" t="str">
        <x:v>PROPOSED</x:v>
      </x:c>
      <x:c r="H65" s="18" t="str">
        <x:v>架构与依赖文件符合现有ADR；微服务不是本项目已确认需求。
Архитектура и зависимости соответствуют текущим ADR; микросервисы не являются подтверждённым требованием проекта.</x:v>
      </x:c>
      <x:c r="I65" s="18" t="str">
        <x:v>G-005</x:v>
      </x:c>
      <x:c r="J65" s="18" t="str">
        <x:v>MVP</x:v>
      </x:c>
      <x:c r="K65" s="18" t="str"/>
    </x:row>
    <x:row r="66" ht="72" customHeight="1">
      <x:c r="A66" s="13" t="str">
        <x:v>SP-C-006</x:v>
      </x:c>
      <x:c r="B66" s="14" t="str">
        <x:v>C</x:v>
      </x:c>
      <x:c r="C66" s="14" t="str">
        <x:v>团队与课程验收
Команда и учебная приёмка</x:v>
      </x:c>
      <x:c r="D66" s="14" t="str">
        <x:v>项目沿用四人团队及DEC-017主角色，由老师验收；具体期限、评分与提交格式需OPEN-008确认。
Проект сохраняет четырёх участников и роли DEC-017; принимает преподаватель, срок, оценка и формат требуют OPEN-008.</x:v>
      </x:c>
      <x:c r="E66" s="14" t="str">
        <x:v>DEC-001, DEC-008, DEC-017</x:v>
      </x:c>
      <x:c r="F66" s="14" t="str">
        <x:v>Must</x:v>
      </x:c>
      <x:c r="G66" s="14" t="str">
        <x:v>PROPOSED</x:v>
      </x:c>
      <x:c r="H66" s="14" t="str">
        <x:v>名单与主角色对应现有决策，未填写虚构老师姓名、期限或成员签名。
Имена и роли совпадают с решениями; имя преподавателя, срок и подписи не выдуманы.</x:v>
      </x:c>
      <x:c r="I66" s="14" t="str">
        <x:v>G-005</x:v>
      </x:c>
      <x:c r="J66" s="14" t="str">
        <x:v>MVP</x:v>
      </x:c>
      <x:c r="K66" s="14" t="str"/>
    </x:row>
    <x:row r="67" ht="57" customHeight="1">
      <x:c r="A67" s="17" t="str">
        <x:v>SP-TR-001</x:v>
      </x:c>
      <x:c r="B67" s="18" t="str">
        <x:v>TR</x:v>
      </x:c>
      <x:c r="C67" s="18" t="str">
        <x:v>业务数据库迁移准备
Подготовка миграции БД</x:v>
      </x:c>
      <x:c r="D67" s="18" t="str">
        <x:v>首个业务实体实现前应引入Alembic，并在隔离环境用合成数据演练迁移和回滚。
До первой бизнес-сущности вводится Alembic, а миграция и откат отрабатываются в изолированной среде с тестовыми данными.</x:v>
      </x:c>
      <x:c r="E67" s="18" t="str">
        <x:v>docs/data/requirements.json: NFR-005</x:v>
      </x:c>
      <x:c r="F67" s="18" t="str">
        <x:v>Must</x:v>
      </x:c>
      <x:c r="G67" s="18" t="str">
        <x:v>PROPOSED</x:v>
      </x:c>
      <x:c r="H67" s="18" t="str">
        <x:v>每步迁移和回滚保存命令、计数、约束与实际结果；目前只有计划。
Для каждого шага записать команды, количества, ограничения и результаты; сейчас это план.</x:v>
      </x:c>
      <x:c r="I67" s="18" t="str">
        <x:v>G-005</x:v>
      </x:c>
      <x:c r="J67" s="18" t="str">
        <x:v>MVP</x:v>
      </x:c>
      <x:c r="K67" s="18" t="str">
        <x:v>A-007</x:v>
      </x:c>
    </x:row>
    <x:row r="68" ht="57" customHeight="1">
      <x:c r="A68" s="13" t="str">
        <x:v>SP-TR-002</x:v>
      </x:c>
      <x:c r="B68" s="14" t="str">
        <x:v>TR</x:v>
      </x:c>
      <x:c r="C68" s="14" t="str">
        <x:v>管理员培训与学生试点
Обучение администратора и пилот</x:v>
      </x:c>
      <x:c r="D68" s="14" t="str">
        <x:v>投入试用前应完成A-007的管理员演练，并按A-002组织学生试点。
До пробного использования выполняются упражнения администратора A-007 и студенческий пилот A-002.</x:v>
      </x:c>
      <x:c r="E68" s="14" t="str">
        <x:v>DOC-01 §3; DOC-02 §5; 新增过渡候选 / новый кандидат перехода</x:v>
      </x:c>
      <x:c r="F68" s="14" t="str">
        <x:v>Should</x:v>
      </x:c>
      <x:c r="G68" s="14" t="str">
        <x:v>PROPOSED</x:v>
      </x:c>
      <x:c r="H68" s="14" t="str">
        <x:v>保存真实参与记录与任务结果；未参与的人员不得签为完成，指标按候选方案评审。
Сохранить фактическое участие и результаты; отсутствующие участники не отмечаются завершившими, показатели рассматриваются как предложение.</x:v>
      </x:c>
      <x:c r="I68" s="14" t="str">
        <x:v>G-001, G-004</x:v>
      </x:c>
      <x:c r="J68" s="14" t="str">
        <x:v>MVP</x:v>
      </x:c>
      <x:c r="K68" s="14" t="str">
        <x:v>A-002, A-007</x:v>
      </x:c>
    </x:row>
    <x:row r="69" ht="72" customHeight="1">
      <x:c r="A69" s="17" t="str">
        <x:v>SP-TR-003</x:v>
      </x:c>
      <x:c r="B69" s="18" t="str">
        <x:v>TR</x:v>
      </x:c>
      <x:c r="C69" s="18" t="str">
        <x:v>部署与恢复交接
Передача размещения и восстановления</x:v>
      </x:c>
      <x:c r="D69" s="18" t="str">
        <x:v>课程演示交接前应确认服务器、域名和证书，按Docker Compose与Caddy候选方案验证HTTPS及恢复步骤。
До передачи демонстрации определяются сервер, домен и сертификат, проверяются HTTPS и восстановление по кандидату Docker Compose и Caddy.</x:v>
      </x:c>
      <x:c r="E69" s="18" t="str">
        <x:v>DEC-010, DEC-015; OPEN-010</x:v>
      </x:c>
      <x:c r="F69" s="18" t="str">
        <x:v>Should</x:v>
      </x:c>
      <x:c r="G69" s="18" t="str">
        <x:v>PROPOSED</x:v>
      </x:c>
      <x:c r="H69" s="18" t="str">
        <x:v>OPEN-010闭合后记录真实HTTPS和恢复结果；A-004目标未达成不得记为通过。
После решения OPEN-010 сохранить реальные результаты HTTPS и восстановления; цель A-004 без выполнения не считается достигнутой.</x:v>
      </x:c>
      <x:c r="I69" s="18" t="str">
        <x:v>G-003, G-005</x:v>
      </x:c>
      <x:c r="J69" s="18" t="str">
        <x:v>MVP</x:v>
      </x:c>
      <x:c r="K69" s="18" t="str">
        <x:v>A-004</x:v>
      </x:c>
    </x:row>
  </x:sheetData>
  <x:conditionalFormatting sqref="G10:G69">
    <x:cfRule type="containsText" dxfId="0" priority="1" operator="containsText" text="APPROVED"/>
  </x:conditionalFormatting>
  <x:dataValidations count="2">
    <x:dataValidation type="list" sqref="F10:F69">
      <x:formula1>"Must,Should,Could,Won’t"</x:formula1>
    </x:dataValidation>
    <x:dataValidation type="list" sqref="G10:G69">
      <x:formula1>"PROPOSED,APPROVED,IMPLEMENTED,VERIFIED,RETIRED"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cc15947c3564581"/>
  </x:tableParts>
</x:worksheet>
</file>

<file path=xl/worksheets/sheet2.xml><?xml version="1.0" encoding="utf-8"?>
<x:worksheet xmlns:x="http://schemas.openxmlformats.org/spreadsheetml/2006/main">
  <x:sheetPr>
    <x:tabColor rgb="FF8AA9C4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8" hidden="0" customWidth="1"/>
    <x:col min="2" max="2" width="40" hidden="0" customWidth="1"/>
    <x:col min="3" max="3" width="72" hidden="0" customWidth="1"/>
    <x:col min="4" max="4" width="76" hidden="0" customWidth="1"/>
    <x:col min="5" max="5" width="28" hidden="0" customWidth="1"/>
    <x:col min="6" max="6" width="30" hidden="0" customWidth="1"/>
    <x:col min="7" max="7" width="66" hidden="0" customWidth="1"/>
    <x:col min="8" max="8" width="48" hidden="0" customWidth="1"/>
  </x:cols>
  <x:sheetData>
    <x:row r="2" ht="28" customHeight="1">
      <x:c r="A2" s="1" t="str">
        <x:v>目标与需求追踪 Трассируемость целей</x:v>
      </x:c>
      <x:c r="B2" s="1"/>
      <x:c r="C2" s="1"/>
      <x:c r="D2" s="1"/>
      <x:c r="E2" s="1"/>
      <x:c r="F2" s="1"/>
      <x:c r="G2" s="1"/>
      <x:c r="H2" s="1"/>
    </x:row>
    <x:row r="3">
      <x:c r="A3" s="2" t="str">
        <x:v>课堂版 v0.2 / Учебная v0.2   2026-10-13   来源 / Источник 0.3.0</x:v>
      </x:c>
      <x:c r="B3" s="2"/>
      <x:c r="C3" s="2"/>
      <x:c r="D3" s="2"/>
      <x:c r="E3" s="2"/>
      <x:c r="F3" s="2"/>
      <x:c r="G3" s="2"/>
      <x:c r="H3" s="2"/>
    </x:row>
    <x:row r="5" ht="40" customHeight="1">
      <x:c r="A5" s="9" t="str">
        <x:v>目标ID
ID цели</x:v>
      </x:c>
      <x:c r="B5" s="10" t="str">
        <x:v>目标
Цель</x:v>
      </x:c>
      <x:c r="C5" s="10" t="str">
        <x:v>测量计划
План измерения</x:v>
      </x:c>
      <x:c r="D5" s="10" t="str">
        <x:v>需求ID
Требования</x:v>
      </x:c>
      <x:c r="E5" s="10" t="str">
        <x:v>故事
Истории</x:v>
      </x:c>
      <x:c r="F5" s="10" t="str">
        <x:v>设计
Проект</x:v>
      </x:c>
      <x:c r="G5" s="10" t="str">
        <x:v>计划测试
План тестов</x:v>
      </x:c>
      <x:c r="H5" s="11" t="str">
        <x:v>状态
Состояние</x:v>
      </x:c>
    </x:row>
    <x:row r="6" ht="57" customHeight="1">
      <x:c r="A6" s="13" t="str">
        <x:v>G-001</x:v>
      </x:c>
      <x:c r="B6" s="14" t="str">
        <x:v>学生自助预约
Самостоятельное бронирование</x:v>
      </x:c>
      <x:c r="C6" s="14" t="str">
        <x:v>完成查询、预约、查看和取消闭环；业务收益采用A-005候选指标。
Завершить поиск, бронирование, просмотр и отмену; экономия времени оценивается по предложению A-005.</x:v>
      </x:c>
      <x:c r="D6" s="14" t="str">
        <x:v>SP-BR-001, SP-FR-001, SP-FR-002, SP-FR-005, SP-FR-006, SP-FR-007, SP-FR-008, SP-FR-010, SP-FR-013, SP-FR-027, SP-FR-028, SP-NFR-002, SP-NFR-006, SP-IF-001, SP-C-004, SP-TR-002</x:v>
      </x:c>
      <x:c r="E6" s="14" t="str">
        <x:v>US-001, US-002, US-003, US-004, US-005, US-006</x:v>
      </x:c>
      <x:c r="F6" s="14" t="str">
        <x:v>ARCH-01, ARCH-02, ARCH-03</x:v>
      </x:c>
      <x:c r="G6" s="14" t="str">
        <x:v>P-TC-001, P-TC-006, P-TC-007, P-TC-010, P-TC-011, P-TC-012, P-TC-013, P-TC-015, P-TC-018, P-TC-032, P-TC-033, P-TC-038, P-TC-042, P-TC-047, P-TC-055, P-TC-059</x:v>
      </x:c>
      <x:c r="H6" s="14" t="str">
        <x:v>设计与计划测试关联；实现和业务测试未完成
Связаны проект и план тестов; реализация и бизнес-тесты не выполнены</x:v>
      </x:c>
    </x:row>
    <x:row r="7" ht="57" customHeight="1">
      <x:c r="A7" s="17" t="str">
        <x:v>G-002</x:v>
      </x:c>
      <x:c r="B7" s="18" t="str">
        <x:v>避免预约资源冲突
Предотвращение конфликтов</x:v>
      </x:c>
      <x:c r="C7" s="18" t="str">
        <x:v>测试与试点中，被接受的同学生或同座位重叠预约数为0；允许非重叠多条。
В тестах и пилоте число принятых пересекающихся записей одного студента или места равно 0; несколько непересекающихся разрешены.</x:v>
      </x:c>
      <x:c r="D7" s="18" t="str">
        <x:v>SP-BR-002, SP-FR-007, SP-FR-008, SP-FR-009, SP-FR-010, SP-FR-011, SP-FR-012, SP-FR-017, SP-FR-018, SP-FR-020, SP-NFR-004, SP-NFR-005, SP-NFR-010, SP-C-001, SP-C-002, SP-C-003</x:v>
      </x:c>
      <x:c r="E7" s="18" t="str">
        <x:v>US-001, US-002, US-003, US-004, US-005</x:v>
      </x:c>
      <x:c r="F7" s="18" t="str">
        <x:v>ARCH-01, ARCH-03, ARCH-04</x:v>
      </x:c>
      <x:c r="G7" s="18" t="str">
        <x:v>P-TC-002, P-TC-012, P-TC-013, P-TC-014, P-TC-015, P-TC-016, P-TC-017, P-TC-022, P-TC-023, P-TC-025, P-TC-040, P-TC-041, P-TC-046, P-TC-052, P-TC-053, P-TC-054</x:v>
      </x:c>
      <x:c r="H7" s="18" t="str">
        <x:v>设计与计划测试关联；实现和业务测试未完成
Связаны проект и план тестов; реализация и бизнес-тесты не выполнены</x:v>
      </x:c>
    </x:row>
    <x:row r="8" ht="72" customHeight="1">
      <x:c r="A8" s="13" t="str">
        <x:v>G-003</x:v>
      </x:c>
      <x:c r="B8" s="14" t="str">
        <x:v>校内身份与数据保护
Принадлежность к вузу и защита данных</x:v>
      </x:c>
      <x:c r="C8" s="14" t="str">
        <x:v>未启用或未核验学生的预约申请全部拒绝；学生不能读取其他学生的记录。
Все заявки неактивных или неподтверждённых студентов отклоняются; студент не читает чужие записи.</x:v>
      </x:c>
      <x:c r="D8" s="14" t="str">
        <x:v>SP-BR-003, SP-FR-001, SP-FR-002, SP-FR-003, SP-FR-004, SP-FR-013, SP-FR-019, SP-FR-020, SP-FR-021, SP-FR-022, SP-FR-026, SP-FR-031, SP-NFR-003, SP-NFR-009, SP-NFR-010, SP-IF-001, SP-IF-002, SP-DR-001, SP-DR-002, SP-DR-003, SP-TR-003</x:v>
      </x:c>
      <x:c r="E8" s="14" t="str">
        <x:v>US-002, US-003, US-004, US-005, US-006</x:v>
      </x:c>
      <x:c r="F8" s="14" t="str">
        <x:v>ARCH-01, ARCH-02, ARCH-03, ARCH-04, ARCH-05</x:v>
      </x:c>
      <x:c r="G8" s="14" t="str">
        <x:v>P-TC-003, P-TC-006, P-TC-007, P-TC-008, P-TC-009, P-TC-018, P-TC-024, P-TC-025, P-TC-026, P-TC-027, P-TC-031, P-TC-036, P-TC-039, P-TC-045, P-TC-046, P-TC-047, P-TC-048, P-TC-049, P-TC-050, P-TC-051, P-TC-060</x:v>
      </x:c>
      <x:c r="H8" s="14" t="str">
        <x:v>设计与计划测试关联；实现和业务测试未完成
Связаны проект и план тестов; реализация и бизнес-тесты не выполнены</x:v>
      </x:c>
    </x:row>
    <x:row r="9" ht="57" customHeight="1">
      <x:c r="A9" s="17" t="str">
        <x:v>G-004</x:v>
      </x:c>
      <x:c r="B9" s="18" t="str">
        <x:v>管理员资源和记录管理
Управление ресурсами и записями</x:v>
      </x:c>
      <x:c r="C9" s="18" t="str">
        <x:v>5类管理演练可复核；三项统计与同一as_of快照的合成记录计数一致。
Проверяемые пять административных сценариев; три показателя совпадают с тестовыми записями одного снимка as_of.</x:v>
      </x:c>
      <x:c r="D9" s="18" t="str">
        <x:v>SP-BR-004, SP-FR-006, SP-FR-011, SP-FR-012, SP-FR-014, SP-FR-015, SP-FR-016, SP-FR-017, SP-FR-018, SP-FR-019, SP-FR-020, SP-FR-023, SP-FR-024, SP-FR-025, SP-FR-026, SP-FR-029, SP-FR-030, SP-FR-031, SP-TR-002</x:v>
      </x:c>
      <x:c r="E9" s="18" t="str">
        <x:v>US-001, US-002, US-003, US-004, US-005, US-006</x:v>
      </x:c>
      <x:c r="F9" s="18" t="str">
        <x:v>ARCH-03</x:v>
      </x:c>
      <x:c r="G9" s="18" t="str">
        <x:v>P-TC-004, P-TC-011, P-TC-016, P-TC-017, P-TC-019, P-TC-020, P-TC-021, P-TC-022, P-TC-023, P-TC-024, P-TC-025, P-TC-028, P-TC-029, P-TC-030, P-TC-031, P-TC-034, P-TC-035, P-TC-036, P-TC-059</x:v>
      </x:c>
      <x:c r="H9" s="18" t="str">
        <x:v>设计与计划测试关联；实现和业务测试未完成
Связаны проект и план тестов; реализация и бизнес-тесты не выполнены</x:v>
      </x:c>
    </x:row>
    <x:row r="10" ht="57" customHeight="1">
      <x:c r="A10" s="13" t="str">
        <x:v>G-005</x:v>
      </x:c>
      <x:c r="B10" s="14" t="str">
        <x:v>可维护交付与双语追踪
Сопровождаемая передача и двуязычная трассируемость</x:v>
      </x:c>
      <x:c r="C10" s="14" t="str">
        <x:v>全部候选需求具备两语表述、来源、优先级、目标和验收标准；恢复演练目标见A-004。
Каждый кандидат имеет два языка, источник, приоритет, цель и критерий приёмки; цель восстановления задана в A-004.</x:v>
      </x:c>
      <x:c r="D10" s="14" t="str">
        <x:v>SP-BR-005, SP-NFR-001, SP-NFR-002, SP-NFR-005, SP-NFR-006, SP-NFR-007, SP-NFR-008, SP-DR-002, SP-DR-003, SP-C-004, SP-C-005, SP-C-006, SP-TR-001, SP-TR-003</x:v>
      </x:c>
      <x:c r="E10" s="14" t="str">
        <x:v>US-001, US-005, US-006</x:v>
      </x:c>
      <x:c r="F10" s="14" t="str">
        <x:v>ARCH-01, ARCH-04, ARCH-05</x:v>
      </x:c>
      <x:c r="G10" s="14" t="str">
        <x:v>P-TC-005, P-TC-037, P-TC-038, P-TC-041, P-TC-042, P-TC-043, P-TC-044, P-TC-050, P-TC-051, P-TC-055, P-TC-056, P-TC-057, P-TC-058, P-TC-060</x:v>
      </x:c>
      <x:c r="H10" s="14" t="str">
        <x:v>设计与计划测试关联；实现和业务测试未完成
Связаны проект и план тестов; реализация и бизнес-тесты не выполнены</x:v>
      </x:c>
    </x:row>
  </x:sheetData>
  <x:pageMargins left="0.7" right="0.7" top="0.75" bottom="0.75" header="0.3" footer="0.3"/>
  <x:tableParts count="1">
    <x:tablePart xmlns:r="http://schemas.openxmlformats.org/officeDocument/2006/relationships" r:id="R99c6ea0efcb346b9"/>
  </x:tableParts>
</x:worksheet>
</file>

<file path=xl/worksheets/sheet3.xml><?xml version="1.0" encoding="utf-8"?>
<x:worksheet xmlns:x="http://schemas.openxmlformats.org/spreadsheetml/2006/main">
  <x:sheetPr>
    <x:tabColor rgb="FF8AA9C4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65" hidden="0" customWidth="1"/>
    <x:col min="3" max="3" width="38" hidden="0" customWidth="1"/>
    <x:col min="4" max="4" width="105" hidden="0" customWidth="1"/>
    <x:col min="5" max="5" width="90" hidden="0" customWidth="1"/>
  </x:cols>
  <x:sheetData>
    <x:row r="2" ht="28" customHeight="1">
      <x:c r="A2" s="1" t="str">
        <x:v>RoomBook 八条练习 Восемь учебных требований</x:v>
      </x:c>
      <x:c r="B2" s="1"/>
      <x:c r="C2" s="1"/>
      <x:c r="D2" s="1"/>
      <x:c r="E2" s="1"/>
    </x:row>
    <x:row r="3">
      <x:c r="A3" s="2" t="str">
        <x:v>课堂版 v0.2 / Учебная v0.2   2026-10-13   来源 / Источник 0.3.0</x:v>
      </x:c>
      <x:c r="B3" s="2"/>
      <x:c r="C3" s="2"/>
      <x:c r="D3" s="2"/>
      <x:c r="E3" s="2"/>
    </x:row>
    <x:row r="5" ht="40" customHeight="1">
      <x:c r="A5" s="9" t="str">
        <x:v>编号
ID</x:v>
      </x:c>
      <x:c r="B5" s="10" t="str">
        <x:v>原文
Исходный текст</x:v>
      </x:c>
      <x:c r="C5" s="10" t="str">
        <x:v>缺陷
Дефект</x:v>
      </x:c>
      <x:c r="D5" s="10" t="str">
        <x:v>修正表述
Исправление</x:v>
      </x:c>
      <x:c r="E5" s="11" t="str">
        <x:v>假设与客户问题
Допущения и вопросы</x:v>
      </x:c>
    </x:row>
    <x:row r="6" ht="57" customHeight="1">
      <x:c r="A6" s="13" t="str">
        <x:v>RB-01</x:v>
      </x:c>
      <x:c r="B6" s="14" t="str">
        <x:v>系统必须易用且快速。
Система должна быть удобной и быстрой.</x:v>
      </x:c>
      <x:c r="C6" s="14" t="str">
        <x:v>含糊、不可验证、复合需求
Неоднозначность, непроверяемость, составное требование</x:v>
      </x:c>
      <x:c r="D6" s="14" t="str">
        <x:v>RB-01a：在100个并发虚拟用户的指定测试环境中，查询P95≤2秒。RB-01b：20名参与者至少18人无需帮助在3分钟内完成预订。
RB-01a: при 100 виртуальных пользователях в заданной среде P95 поиска≤2 с. RB-01b: не менее 18 из 20 участников без помощи бронируют за 3 минуты.</x:v>
      </x:c>
      <x:c r="E6" s="14" t="str">
        <x:v>数值为练习示范假设，环境和用户任务须确认；不是原课件给出的指标。
Числа являются учебными допущениями; среда и задания уточняются, слайд этих чисел не содержит.</x:v>
      </x:c>
    </x:row>
    <x:row r="7" ht="87" customHeight="1">
      <x:c r="A7" s="17" t="str">
        <x:v>RB-02</x:v>
      </x:c>
      <x:c r="B7" s="18" t="str">
        <x:v>用户可以预订房间、收到邮件并导出日历。
Пользователь может забронировать комнату, получить письмо и экспортировать календарь.</x:v>
      </x:c>
      <x:c r="C7" s="18" t="str">
        <x:v>复合需求、条件不完整
Составное требование, неполнота</x:v>
      </x:c>
      <x:c r="D7" s="18" t="str">
        <x:v>RB-02a：已登录用户可提交空闲房间时段的预订。RB-02b：预订成功后系统发送含房间、时间与编号的确认邮件。RB-02c：用户可将该预订导出为ICS日历事件。
RB-02a: вошедший пользователь бронирует свободный интервал помещения. RB-02b: после успеха система отправляет письмо с помещением, временем и номером. RB-02c: пользователь экспортирует бронирование в событие ICS.</x:v>
      </x:c>
      <x:c r="E7" s="18" t="str">
        <x:v>登录条件、邮件渠道和ICS格式为改写示例，须客户确认；拆为3项独立测试。
Вход, почта и ICS предлагаются для примера и согласуются с заказчиком; три отдельные проверки.</x:v>
      </x:c>
    </x:row>
    <x:row r="8" ht="57" customHeight="1">
      <x:c r="A8" s="13" t="str">
        <x:v>RB-03</x:v>
      </x:c>
      <x:c r="B8" s="14" t="str">
        <x:v>通过右上角蓝色“预订”按钮完成预订。
Бронирование выполняется кнопкой «Забронировать» синего цвета в правом верхнем углу.</x:v>
      </x:c>
      <x:c r="C8" s="14" t="str">
        <x:v>用界面方案代替需求
Решение интерфейса вместо потребности</x:v>
      </x:c>
      <x:c r="D8" s="14" t="str">
        <x:v>RB-03：用户在选择空闲房间、日期和时段后，可提交预订并看到成功编号或失败原因。
RB-03: после выбора свободного помещения, даты и интервала пользователь отправляет заявку и видит номер успеха или причину отказа.</x:v>
      </x:c>
      <x:c r="E8" s="14" t="str">
        <x:v>若颜色和位置为强制界面约束，应另设IF/C条目，不替代预订行为。
Если цвет и положение обязательны, их выделяют в IF/C, отдельно от поведения.</x:v>
      </x:c>
    </x:row>
    <x:row r="9" ht="72" customHeight="1">
      <x:c r="A9" s="17" t="str">
        <x:v>RB-04</x:v>
      </x:c>
      <x:c r="B9" s="18" t="str">
        <x:v>系统基于微服务架构构建。
Система построена на микросервисной архитектуре.</x:v>
      </x:c>
      <x:c r="C9" s="18" t="str">
        <x:v>解决方案代替需要、分类错误
Решение вместо потребности, ошибка классификации</x:v>
      </x:c>
      <x:c r="D9" s="18" t="str">
        <x:v>RB-04候选：预约模块应能独立更新，而查询服务在更新期间保持可用。微服务作为待评估架构方案；若客户明确强制使用，则另记架构约束C-RB-04。
Кандидат RB-04: модуль бронирования обновляется независимо, а поиск остаётся доступным. Микросервисы — оцениваемое решение; при прямом обязательном указании заказчика создаётся C-RB-04.</x:v>
      </x:c>
      <x:c r="E9" s="18" t="str">
        <x:v>实际业务动机未知；必须询问独立发布、扩容或故障隔离需求，此候选不能当已确认。
Бизнес-мотив неизвестен; нужно спросить о выпуске, масштабировании и изоляции отказов, кандидат не согласован.</x:v>
      </x:c>
    </x:row>
    <x:row r="10" ht="57" customHeight="1">
      <x:c r="A10" s="13" t="str">
        <x:v>RB-05</x:v>
      </x:c>
      <x:c r="B10" s="14" t="str">
        <x:v>同一房间不能在同一时间被预订两次；主管可以预订已被占用的时段。
Комната не может быть забронирована дважды на одно время. Руководители могут бронировать на уже занятое время.</x:v>
      </x:c>
      <x:c r="C10" s="14" t="str">
        <x:v>矛盾
Противоречие</x:v>
      </x:c>
      <x:c r="D10" s="14" t="str">
        <x:v>RB-05示范方案A：系统应拒绝任意角色对同一房间创建与有效预订重叠的预订。
Учебный вариант A RB-05: система отклоняет пересекающуюся с действующей записью заявку любого пользователя на то же помещение.</x:v>
      </x:c>
      <x:c r="E10" s="14" t="str">
        <x:v>待客户选定：A所有角色禁止重叠；B主管可覆盖但需明确原预订的取消、通知和审计规则。不能同时保留原两条。
Заказчик выбирает: A запрет для всех; B замещение руководителем с правилами отмены, уведомления и аудита. Исходные две записи совместно не сохраняются.</x:v>
      </x:c>
    </x:row>
    <x:row r="11" ht="57" customHeight="1">
      <x:c r="A11" s="17" t="str">
        <x:v>RB-06</x:v>
      </x:c>
      <x:c r="B11" s="18" t="str">
        <x:v>如果可能，系统会发送提醒。
Система отправляет напоминание, если это возможно.</x:v>
      </x:c>
      <x:c r="C11" s="18" t="str">
        <x:v>是否必须不明确、条件缺失
Необязательность, неполнота</x:v>
      </x:c>
      <x:c r="D11" s="18" t="str">
        <x:v>RB-06候选：系统应向已同意接收邮件的用户，在有效预订开始前15分钟发送一次提醒。
Кандидат RB-06: пользователю, согласившемуся на почту, система отправляет одно напоминание за 15 минут до действующего бронирования.</x:v>
      </x:c>
      <x:c r="E11" s="18" t="str">
        <x:v>15分钟、渠道与优先级均需确认；失败重试另定义。若不是本轮必需，应明确排入后续版本。
15 минут, канал и приоритет согласуются; повторы при сбое задаются отдельно. Необязательная функция явно переносится в будущий выпуск.</x:v>
      </x:c>
    </x:row>
    <x:row r="12" ht="57" customHeight="1">
      <x:c r="A12" s="13" t="str">
        <x:v>RB-07</x:v>
      </x:c>
      <x:c r="B12" s="14" t="str">
        <x:v>预订会被取消。
Бронирование отменяется.</x:v>
      </x:c>
      <x:c r="C12" s="14" t="str">
        <x:v>缺少执行者、条件和结果
Неполнота актор условие результат</x:v>
      </x:c>
      <x:c r="D12" s="14" t="str">
        <x:v>RB-07候选：预订所有者可在开始前取消本人预订；成功后状态为CANCELED并释放该房间时段。
Кандидат RB-07: владелец до начала отменяет свою запись; после успеха статус CANCELED и интервал освобождён.</x:v>
      </x:c>
      <x:c r="E12" s="14" t="str">
        <x:v>取消截止时刻、管理员权限与重复取消行为需确认。
Срок отмены, полномочия администратора и повторное действие согласуются.</x:v>
      </x:c>
    </x:row>
    <x:row r="13" ht="57" customHeight="1">
      <x:c r="A13" s="17" t="str">
        <x:v>RB-08</x:v>
      </x:c>
      <x:c r="B13" s="18" t="str">
        <x:v>所有数据都必须受到保护。
Все данные должны быть защищены.</x:v>
      </x:c>
      <x:c r="C13" s="18" t="str">
        <x:v>范围含糊、不可验证
Неоднозначность, непроверяемость</x:v>
      </x:c>
      <x:c r="D13" s="18" t="str">
        <x:v>RB-08a：用户只能读取自己的预订，管理员权限另定义。RB-08b：公网通信使用HTTPS。RB-08c：日志不记录密码和令牌。
RB-08a: пользователь читает только свои записи, права администратора задаются отдельно. RB-08b: публичный обмен использует HTTPS. RB-08c: логи не содержат пароли и токены.</x:v>
      </x:c>
      <x:c r="E13" s="18" t="str">
        <x:v>拆分访问、传输与日志保护，并分别做越权、TLS和日志检查；数据种类与角色须明确。
Доступ, транспорт и логи выделены отдельно; проверяются чужой доступ, TLS и журналы; данные и роли уточняются.</x:v>
      </x:c>
    </x:row>
  </x:sheetData>
  <x:pageMargins left="0.7" right="0.7" top="0.75" bottom="0.75" header="0.3" footer="0.3"/>
  <x:tableParts count="1">
    <x:tablePart xmlns:r="http://schemas.openxmlformats.org/officeDocument/2006/relationships" r:id="Rc8463f25af0b4adf"/>
  </x:tableParts>
</x:worksheet>
</file>

<file path=xl/worksheets/sheet4.xml><?xml version="1.0" encoding="utf-8"?>
<x:worksheet xmlns:x="http://schemas.openxmlformats.org/spreadsheetml/2006/main">
  <x:sheetPr>
    <x:tabColor rgb="FF8AA9C4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6" hidden="0" customWidth="1"/>
    <x:col min="2" max="2" width="16" hidden="0" customWidth="1"/>
    <x:col min="3" max="3" width="90" hidden="0" customWidth="1"/>
    <x:col min="4" max="4" width="48" hidden="0" customWidth="1"/>
    <x:col min="5" max="5" width="110" hidden="0" customWidth="1"/>
    <x:col min="6" max="6" width="50" hidden="0" customWidth="1"/>
    <x:col min="7" max="7" width="62" hidden="0" customWidth="1"/>
  </x:cols>
  <x:sheetData>
    <x:row r="2" ht="28" customHeight="1">
      <x:c r="A2" s="1" t="str">
        <x:v>StudySpace 修订日志 Журнал исправлений</x:v>
      </x:c>
      <x:c r="B2" s="1"/>
      <x:c r="C2" s="1"/>
      <x:c r="D2" s="1"/>
      <x:c r="E2" s="1"/>
      <x:c r="F2" s="1"/>
      <x:c r="G2" s="1"/>
    </x:row>
    <x:row r="3">
      <x:c r="A3" s="2" t="str">
        <x:v>课堂版 v0.2 / Учебная v0.2   2026-10-13   来源 / Источник 0.3.0</x:v>
      </x:c>
      <x:c r="B3" s="2"/>
      <x:c r="C3" s="2"/>
      <x:c r="D3" s="2"/>
      <x:c r="E3" s="2"/>
      <x:c r="F3" s="2"/>
      <x:c r="G3" s="2"/>
    </x:row>
    <x:row r="5" ht="40" customHeight="1">
      <x:c r="A5" s="9" t="str">
        <x:v>记录ID
ID</x:v>
      </x:c>
      <x:c r="B5" s="10" t="str">
        <x:v>原ID
Исходный ID</x:v>
      </x:c>
      <x:c r="C5" s="10" t="str">
        <x:v>原文引用
Цитата</x:v>
      </x:c>
      <x:c r="D5" s="10" t="str">
        <x:v>缺陷
Дефект</x:v>
      </x:c>
      <x:c r="E5" s="10" t="str">
        <x:v>修改后
После</x:v>
      </x:c>
      <x:c r="F5" s="10" t="str">
        <x:v>候选ID
Кандидаты</x:v>
      </x:c>
      <x:c r="G5" s="11" t="str">
        <x:v>状态
Состояние</x:v>
      </x:c>
    </x:row>
    <x:row r="6" ht="57" customHeight="1">
      <x:c r="A6" s="13" t="str">
        <x:v>CL-001</x:v>
      </x:c>
      <x:c r="B6" s="14" t="str">
        <x:v>FR-002</x:v>
      </x:c>
      <x:c r="C6" s="14" t="str">
        <x:v>拟提供身份验证及退出；会话策略、密码规则与恢复流程待确认。
Предлагаются аутентификация и выход; политика сессий, правила паролей и восстановление доступа требуют подтверждения.</x:v>
      </x:c>
      <x:c r="D6" s="14" t="str">
        <x:v>复合且会话条件未定
Составное требование и неизвестная сессия</x:v>
      </x:c>
      <x:c r="E6" s="14" t="str">
        <x:v>系统应允许启用账号使用有效凭据登录；PENDING学生登录后仅具有读取权限。；系统应在用户退出后使当前会话失效。
Система разрешает активному аккаунту вход с действительными данными; студент PENDING после входа имеет только доступ для чтения. После выхода система делает текущую сессию недействительной.</x:v>
      </x:c>
      <x:c r="F6" s="14" t="str">
        <x:v>SP-FR-002, SP-FR-003</x:v>
      </x:c>
      <x:c r="G6" s="14" t="str">
        <x:v>已拆分；A-003会话策略待评审
Разделено; политика A-003 требует рассмотрения</x:v>
      </x:c>
    </x:row>
    <x:row r="7" ht="87" customHeight="1">
      <x:c r="A7" s="17" t="str">
        <x:v>CL-002</x:v>
      </x:c>
      <x:c r="B7" s="18" t="str">
        <x:v>NFR-001</x:v>
      </x:c>
      <x:c r="C7" s="18" t="str">
        <x:v>拟保持前后端分层、类型检查、锁文件和可重复运行说明；验收标准待确认。
Предлагаются разделение слоёв, проверка типов, lock-файлы и воспроизводимые инструкции; критерии приёмки требуют подтверждения.</x:v>
      </x:c>
      <x:c r="D7" s="18" t="str">
        <x:v>技术方案和质量目标混写，验收不足
Смешаны решение и качество, нет критерия</x:v>
      </x:c>
      <x:c r="E7" s="18" t="str">
        <x:v>项目应在干净环境按锁文件和README完成后端检查、前端类型检查与生产构建。；课程项目沿用模块化单体、React与FastAPI、开发SQLite和部署候选PostgreSQL，保留锁文件。
В чистой среде по lock-файлам и README выполняются проверки сервера, типов клиента и производственная сборка. Учебный проект сохраняет модульный монолит, React и FastAPI, SQLite разработки и кандидат PostgreSQL для размещения, а также lock-файлы.</x:v>
      </x:c>
      <x:c r="F7" s="18" t="str">
        <x:v>SP-NFR-001, SP-C-005</x:v>
      </x:c>
      <x:c r="G7" s="18" t="str">
        <x:v>改为可重复检查，并将技术选型归C
Задан проверяемый критерий, технологии выделены в C</x:v>
      </x:c>
    </x:row>
    <x:row r="8" ht="57" customHeight="1">
      <x:c r="A8" s="13" t="str">
        <x:v>CL-003</x:v>
      </x:c>
      <x:c r="B8" s="14" t="str">
        <x:v>NFR-002</x:v>
      </x:c>
      <x:c r="C8" s="14" t="str">
        <x:v>响应时间、并发用户数、数据量及测量环境均待确认；不在初始化时承诺数值。
Время ответа, число параллельных пользователей, объём данных и среда измерения требуют подтверждения; числовые гарантии на этапе инициализации отсутствуют.</x:v>
      </x:c>
      <x:c r="D8" s="14" t="str">
        <x:v>性能不可验证，缺少条件及指标
Производительность непроверяема без условий</x:v>
      </x:c>
      <x:c r="E8" s="14" t="str">
        <x:v>空位查询应在A-001负载与环境下达到P95≤2秒，意外服务/传输错误率&lt;1%。
Поиск свободных мест в среде и нагрузке A-001 имеет P95≤2 с и неожиданные ошибки сервиса/транспорта&lt;1%.</x:v>
      </x:c>
      <x:c r="F8" s="14" t="str">
        <x:v>SP-NFR-002</x:v>
      </x:c>
      <x:c r="G8" s="14" t="str">
        <x:v>提出A-001完整测量方案，待课程评审；未实测
Предложен план A-001, требуется рассмотрение; измерений нет</x:v>
      </x:c>
    </x:row>
    <x:row r="9" ht="102" customHeight="1">
      <x:c r="A9" s="17" t="str">
        <x:v>CL-004</x:v>
      </x:c>
      <x:c r="B9" s="18" t="str">
        <x:v>NFR-005</x:v>
      </x:c>
      <x:c r="C9" s="18" t="str">
        <x:v>SQLite用于开发，PostgreSQL为Docker部署候选；首个业务实体前引入Alembic，实施后验证模式、数据、约束、回滚和并发。当前无业务表和迁移验收。
SQLite используется при разработке, PostgreSQL — кандидат Docker-размещения; Alembic вводится до первой бизнес-сущности. После реализации проверяются схема, данные, ограничения, откат и конкуренция; бизнес-таблиц и приёмки миграции сейчас нет.</x:v>
      </x:c>
      <x:c r="D9" s="18" t="str">
        <x:v>技术选择、质量与迁移活动混写
Смешаны технологии качество и переход</x:v>
      </x:c>
      <x:c r="E9" s="18" t="str">
        <x:v>数据库迁移后，应保持合成业务记录的主键、关联、时区含义和冲突约束。；课程项目沿用模块化单体、React与FastAPI、开发SQLite和部署候选PostgreSQL，保留锁文件。；首个业务实体实现前应引入Alembic，并在隔离环境用合成数据演练迁移和回滚。
После миграции сохраняются ключи, связи, смысл временных зон и ограничения конфликтов тестовых бизнес-записей. Учебный проект сохраняет модульный монолит, React и FastAPI, SQLite разработки и кандидат PostgreSQL для размещения, а также lock-файлы. До первой бизнес-сущности вводится Alembic, а миграция и откат отрабатываются в изолированной среде с тестовыми данными.</x:v>
      </x:c>
      <x:c r="F9" s="18" t="str">
        <x:v>SP-NFR-005, SP-C-005, SP-TR-001</x:v>
      </x:c>
      <x:c r="G9" s="18" t="str">
        <x:v>按NFR、C、TR拆分，未执行迁移
Разделено на NFR, C, TR; миграция не выполнена</x:v>
      </x:c>
    </x:row>
    <x:row r="10" ht="87" customHeight="1">
      <x:c r="A10" s="13" t="str">
        <x:v>CL-005</x:v>
      </x:c>
      <x:c r="B10" s="14" t="str">
        <x:v>NFR-006</x:v>
      </x:c>
      <x:c r="C10" s="14" t="str">
        <x:v>界面zh-CN、ru-RU、en-US，业务语义、状态和时间含义保持一致；正式文档仍中俄成对。优先支持当前稳定Chromium/Firefox/Safari及375px可用布局；完整业务三语与浏览器验收尚未执行。
Интерфейс zh-CN, ru-RU, en-US с одинаковым бизнес-смыслом, состояниями и временем; документы остаются китайско-русскими. Цель — стабильные Chromium/Firefox/Safari и375px; полноценная языковая и браузерная приёмка не выполнена.</x:v>
      </x:c>
      <x:c r="D10" s="14" t="str">
        <x:v>语言范围和布局质量混写
Смешаны языковой объём и качество</x:v>
      </x:c>
      <x:c r="E10" s="14" t="str">
        <x:v>业务界面采用zh-CN、ru-RU、en-US，正式文档采用中文和俄语对应版本。；中俄英业务界面应在375px视口下保持操作可达、文本可读且页面无横向溢出。
Бизнес-интерфейс использует zh-CN, ru-RU, en-US; официальные документы имеют китайскую и русскую пары. Китайский, русский и английский бизнес-интерфейс при ширине 375 px сохраняет доступность действий и читаемость без горизонтального переполнения страницы.</x:v>
      </x:c>
      <x:c r="F10" s="14" t="str">
        <x:v>SP-C-004, SP-NFR-006</x:v>
      </x:c>
      <x:c r="G10" s="14" t="str">
        <x:v>语言范围归C，375px布局保留NFR
Языковой объём в C, качество 375 px в NFR</x:v>
      </x:c>
    </x:row>
    <x:row r="11" ht="132" customHeight="1">
      <x:c r="A11" s="17" t="str">
        <x:v>CL-006</x:v>
      </x:c>
      <x:c r="B11" s="18" t="str">
        <x:v>NFR-007</x:v>
      </x:c>
      <x:c r="C11" s="18" t="str">
        <x:v>健康与就绪用于诊断，操作/审核日志保留180天且不复制秘密或身份字段；预约终结后180天、备份每日7份，恢复先运行到期清理。账号不可逆身份清除按停用30天和关联记录到期的较晚时点。
Работоспособность/готовность диагностируются; аудит хранится180 дней без копий секретов/идентификаторов. Бронирования —180 дней от завершения, ежедневных копий семь, восстановление начинается с очистки. Идентификаторы удаляются после более позднего из отключения+30 дней и истечения связанных записей.</x:v>
      </x:c>
      <x:c r="D11" s="18" t="str">
        <x:v>诊断、保留与备份复合
Составные диагностика хранение копии</x:v>
      </x:c>
      <x:c r="E11" s="18" t="str">
        <x:v>健康与就绪接口应区分进程可访问与数据库依赖可用，并不暴露秘密。；运行与审核日志不得包含密码、token、证明影像或复制的学号与姓名。；预约从终结起、审核日志从事件起保留180天；不可逆身份清除须满足DEC-007的较晚时点。；系统应每日保留最近7份备份，恢复后先清理到期数据再开放服务。
Проверки работоспособности и готовности различают доступность процесса и зависимости БД и не раскрывают секретов. Журналы работы и проверки не содержат пароли, token, изображения доказательств или копии номера и имени. Бронирования хранятся 180 дней от завершения, аудит от события; необратимое удаление идентификаторов учитывает более поздний срок DEC-007. Система ежедневно хранит последние 7 копий и после восстановления очищает истёкшие данные до открытия сервиса.</x:v>
      </x:c>
      <x:c r="F11" s="18" t="str">
        <x:v>SP-NFR-007, SP-NFR-003, SP-DR-002, SP-DR-003</x:v>
      </x:c>
      <x:c r="G11" s="18" t="str">
        <x:v>分为NFR和DR；已定180天和7份继续沿用
Разделено на NFR и DR; 180 дней и 7 копий сохранены</x:v>
      </x:c>
    </x:row>
    <x:row r="12" ht="87" customHeight="1">
      <x:c r="A12" s="13" t="str">
        <x:v>CL-007</x:v>
      </x:c>
      <x:c r="B12" s="14" t="str">
        <x:v>BR-004</x:v>
      </x:c>
      <x:c r="C12" s="14" t="str">
        <x:v>每学生的未取消预约时段不得重叠，但允许多条非重叠预约，包括同日及不同未来日；没有全局未结束总量限制。每条仅1seat且最多24h，仍符合开放时间、30分钟及今天至+6规则。相邻[start,end)允许。
Неотменённые интервалы студента не пересекаются, несколько непересекающихся допустимы в один/разные будущие дни без глобального лимита. Одна запись одноseat, максимум24ч, часы/30мин/сегодня...+6 сохраняются, соседние[start,end) допустимы.</x:v>
      </x:c>
      <x:c r="D12" s="14" t="str">
        <x:v>编号语义冲突，复合规则
Неоднозначный префикс и составные правила</x:v>
      </x:c>
      <x:c r="E12" s="14" t="str">
        <x:v>每条预约仅含一个Seat，同一学生的未取消预约不得重叠，非重叠多条及相邻时段允许。；默认08:00–22:00，步长和最短时长30分钟；预约日为今天至+6且在同一业务日，时长硬上限24小时。
Одна запись содержит один Seat; неотменённые интервалы студента не пересекаются, несколько непересекающихся и соседних разрешены. По умолчанию 08:00–22:00, шаг и минимум 30 минут; дата сегодня…+6 внутри одного делового дня, жёсткий максимум 24 часа.</x:v>
      </x:c>
      <x:c r="F12" s="14" t="str">
        <x:v>SP-C-001, SP-C-003</x:v>
      </x:c>
      <x:c r="G12" s="14" t="str">
        <x:v>保留原BR-004来源ID，课堂归C；DEC-016保持不变
Исходный BR-004 сохранён, учебный тип C; DEC-016 не изменён</x:v>
      </x:c>
    </x:row>
    <x:row r="13" ht="87" customHeight="1">
      <x:c r="A13" s="17" t="str">
        <x:v>CL-008</x:v>
      </x:c>
      <x:c r="B13" s="18" t="str">
        <x:v>FR-015</x:v>
      </x:c>
      <x:c r="C13" s="18" t="str">
        <x:v>管理员维护账号启停、角色和校内审核状态；显式CLI交互创建首位管理员，无默认密码。停用或学生身份字段改变时同事务取消未结束预约；身份变更需重新核验。
Администратор ведёт активность, роль и статус проверки; первый администратор создаётся интерактивной CLI без исходного пароля. Отключение или изменение студенческих идентификаторов атомарно отменяет незавершённые записи; изменение требует повторной проверки.</x:v>
      </x:c>
      <x:c r="D13" s="18" t="str">
        <x:v>多个管理行为混写
Несколько административных действий</x:v>
      </x:c>
      <x:c r="E13" s="18" t="str">
        <x:v>系统应在管理员停用账号的同一事务中取消该账号的未结束预约。；系统应在学生身份字段更改后将审核状态置回PENDING并取消未结束预约。；系统应通过显式交互CLI创建首位管理员，禁止默认管理员密码和注册自授管理角色。
При деактивации аккаунта администратором система атомарно отменяет его незавершённые записи. После изменения идентификаторов студента система возвращает PENDING и отменяет незавершённые записи. Первый администратор создаётся явной интерактивной CLI без пароля по умолчанию и повышения роли при регистрации.</x:v>
      </x:c>
      <x:c r="F13" s="18" t="str">
        <x:v>SP-FR-020, SP-FR-021, SP-FR-026</x:v>
      </x:c>
      <x:c r="G13" s="18" t="str">
        <x:v>按独立行为拆分，增加可观察验收
Действия разделены, заданы наблюдаемые критерии</x:v>
      </x:c>
    </x:row>
    <x:row r="14" ht="87" customHeight="1">
      <x:c r="A14" s="13" t="str">
        <x:v>CL-009</x:v>
      </x:c>
      <x:c r="B14" s="14" t="str">
        <x:v>FR-016</x:v>
      </x:c>
      <x:c r="C14" s="14" t="str">
        <x:v>按预约业务日期D与统一as_of提供累计创建数、累计取消数和未取消且未结束数（包含未来）；不推断到场、实际占用或使用率，清理过期数据返回不可统计。
По дате бронирования D и общему as_of показать созданные, отменённые и неотменённые незавершённые записи, включая будущие; не выводить посещаемость, фактическую занятость или загрузку; удалённые данные недоступны.</x:v>
      </x:c>
      <x:c r="D14" s="14" t="str">
        <x:v>三项统计和不适用范围混写
Смешаны три показателя и исключения</x:v>
      </x:c>
      <x:c r="E14" s="14" t="str">
        <x:v>系统应按预约业务日期D及统一as_of统计created_at≤as_of的累计创建数。；系统应按D及同一as_of统计canceled_at≤as_of的累计取消数。；系统应按D和as_of统计当时未取消且end&gt;as_of的记录，包括未来预约。
По деловой дате D и общему as_of система считает записи с created_at≤as_of. По D и тому же as_of система считает записи с canceled_at≤as_of. По D и as_of система считает неотменённые записи с end&gt;as_of, включая будущие.</x:v>
      </x:c>
      <x:c r="F14" s="14" t="str">
        <x:v>SP-FR-023, SP-FR-024, SP-FR-025</x:v>
      </x:c>
      <x:c r="G14" s="14" t="str">
        <x:v>拆成三项，统一D与as_of且不伪造使用率
Три записи используют общие D и as_of, загрузка не выдумывается</x:v>
      </x:c>
    </x:row>
    <x:row r="15" ht="87" customHeight="1">
      <x:c r="A15" s="17" t="str">
        <x:v>CL-010</x:v>
      </x:c>
      <x:c r="B15" s="18" t="str">
        <x:v>FR-010</x:v>
      </x:c>
      <x:c r="C15" s="18" t="str">
        <x:v>学生仅查询本人预约；按起始时间倒序、状态与业务日期筛选，分页默认20且最多100。终结后保留180天，到期数据不伪造为空白历史。
Студент видит только свои записи, сортировка по началу по убыванию, фильтры по состоянию и деловой дате; страница20, максимум100. Хранение180 дней от завершения, истёкшие данные не выдаются за пустую историю.</x:v>
      </x:c>
      <x:c r="D15" s="18" t="str">
        <x:v>查询行为与保留策略混写
Смешаны поиск и срок хранения</x:v>
      </x:c>
      <x:c r="E15" s="18" t="str">
        <x:v>系统应仅向学生返回本人预约，支持状态和业务日期筛选，按起始时间倒序分页。；预约从终结起、审核日志从事件起保留180天；不可逆身份清除须满足DEC-007的较晚时点。
Студент получает только свои записи с фильтрами по состоянию и дате, постранично по началу в обратном порядке. Бронирования хранятся 180 дней от завершения, аудит от события; необратимое удаление идентификаторов учитывает более поздний срок DEC-007.</x:v>
      </x:c>
      <x:c r="F15" s="18" t="str">
        <x:v>SP-FR-013, SP-DR-002</x:v>
      </x:c>
      <x:c r="G15" s="18" t="str">
        <x:v>查询归FR，数据保留归DR；分页边界列接口评审
Поиск в FR, хранение в DR; граница страниц рассматривается в интерфейсе</x:v>
      </x:c>
    </x:row>
    <x:row r="16" ht="57" customHeight="1">
      <x:c r="A16" s="13" t="str">
        <x:v>CL-011</x:v>
      </x:c>
      <x:c r="B16" s="14" t="str">
        <x:v>FR-018</x:v>
      </x:c>
      <x:c r="C16" s="14" t="str">
        <x:v>扩展候选：提供预约提醒；渠道、同意、重试和发送时机待确认。
Кандидат расширения: напоминания; канал, согласие, повторы и момент отправки требуют подтверждения.</x:v>
      </x:c>
      <x:c r="D16" s="14" t="str">
        <x:v>未来候选的实施细节不完整
Неполнота будущего кандидата</x:v>
      </x:c>
      <x:c r="E16" s="14" t="str">
        <x:v>未来版本提供提醒；渠道、时机、同意与重试在开发前确认。
Будущий выпуск предоставляет напоминания; канал, момент, согласие и повторы согласуются до разработки.</x:v>
      </x:c>
      <x:c r="F16" s="14" t="str">
        <x:v>SP-FR-027</x:v>
      </x:c>
      <x:c r="G16" s="14" t="str">
        <x:v>本轮Won’t/FUTURE，渠道与发送时机待后续客户答复
В этом выпуске Won’t/FUTURE, канал и момент требуют ответа</x:v>
      </x:c>
    </x:row>
    <x:row r="17" ht="87" customHeight="1">
      <x:c r="A17" s="17" t="str">
        <x:v>CL-012</x:v>
      </x:c>
      <x:c r="B17" s="18" t="str">
        <x:v>FR-022</x:v>
      </x:c>
      <x:c r="C17" s="18" t="str">
        <x:v>管理员根据真实学校核验来源审核PENDING学生为VERIFIED或REJECTED，记录审核人、时间、决定和非影像来源引用；来源仍未确定时不能冒充核验通过。角色与账号启停独立。
Администратор по фактическому источнику вуза переводит PENDING в VERIFIED либо REJECTED с проверяющим, временем, решением и ссылкой без изображения; пока источник неизвестен, успешная проверка не выдумывается. Роль и активность независимы.</x:v>
      </x:c>
      <x:c r="D17" s="18" t="str">
        <x:v>缺少真实核验来源的外部前提
Внешнее условие источника вуза неизвестно</x:v>
      </x:c>
      <x:c r="E17" s="18" t="str">
        <x:v>系统应允许管理员依据可信学校来源将PENDING学生审核为VERIFIED或REJECTED，并记录来源引用与审核信息。；人工审核接口应记录经学校确认的来源引用；来源未定或不可验证时不能批准身份。
Администратор по доверенному источнику вуза переводит PENDING в VERIFIED либо REJECTED с ссылкой и данными проверки. Интерфейс ручной проверки записывает ссылку на подтверждённый вузом источник; неизвестный или непроверяемый источник не допускает подтверждение.</x:v>
      </x:c>
      <x:c r="F17" s="18" t="str">
        <x:v>SP-FR-022, SP-IF-002</x:v>
      </x:c>
      <x:c r="G17" s="18" t="str">
        <x:v>OPEN-003仍待学校确认；保持无来源不通过
OPEN-003 требует решения вуза; без источника успех запрещён</x:v>
      </x:c>
    </x:row>
  </x:sheetData>
  <x:pageMargins left="0.7" right="0.7" top="0.75" bottom="0.75" header="0.3" footer="0.3"/>
  <x:tableParts count="1">
    <x:tablePart xmlns:r="http://schemas.openxmlformats.org/officeDocument/2006/relationships" r:id="R37142594f65a4775"/>
  </x:tableParts>
</x:worksheet>
</file>

<file path=xl/worksheets/sheet5.xml><?xml version="1.0" encoding="utf-8"?>
<x:worksheet xmlns:x="http://schemas.openxmlformats.org/spreadsheetml/2006/main">
  <x:sheetPr>
    <x:tabColor rgb="FFCC9A32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34" hidden="0" customWidth="1"/>
    <x:col min="3" max="3" width="118" hidden="0" customWidth="1"/>
    <x:col min="4" max="4" width="72" hidden="0" customWidth="1"/>
  </x:cols>
  <x:sheetData>
    <x:row r="2" ht="28" customHeight="1">
      <x:c r="A2" s="1" t="str">
        <x:v>假设与待确认指标 Допущения и показатели</x:v>
      </x:c>
      <x:c r="B2" s="1"/>
      <x:c r="C2" s="1"/>
      <x:c r="D2" s="1"/>
    </x:row>
    <x:row r="3">
      <x:c r="A3" s="2" t="str">
        <x:v>课堂版 v0.2 / Учебная v0.2   2026-10-13   来源 / Источник 0.3.0</x:v>
      </x:c>
      <x:c r="B3" s="2"/>
      <x:c r="C3" s="2"/>
      <x:c r="D3" s="2"/>
    </x:row>
    <x:row r="5" ht="40" customHeight="1">
      <x:c r="A5" s="9" t="str">
        <x:v>ID</x:v>
      </x:c>
      <x:c r="B5" s="10" t="str">
        <x:v>事项
Тема</x:v>
      </x:c>
      <x:c r="C5" s="10" t="str">
        <x:v>候选值与条件
Предлагаемые значения</x:v>
      </x:c>
      <x:c r="D5" s="11" t="str">
        <x:v>状态
Состояние</x:v>
      </x:c>
    </x:row>
    <x:row r="6" ht="72" customHeight="1">
      <x:c r="A6" s="13" t="str">
        <x:v>A-001</x:v>
      </x:c>
      <x:c r="B6" s="14" t="str">
        <x:v>性能测试目标
Цель нагрузочного теста</x:v>
      </x:c>
      <x:c r="C6" s="14" t="str">
        <x:v>候选：4 vCPU、8 GB RAM、SSD，10,000条合成预约；100个并发虚拟用户，预热5分钟后测10分钟。空位查询P95≤2秒，意外5xx/传输错误率&lt;1%。业务冲突拒绝单独统计。
Предложение: 4 vCPU, 8 GB RAM, SSD, 10 000 синтетических записей; 100 виртуальных пользователей, прогрев 5 минут и замер 10 минут. Для поиска P95≤2 с, неожиданные 5xx/ошибки транспорта&lt;1%. Отказы по конфликту учитываются отдельно.</x:v>
      </x:c>
      <x:c r="D6" s="14" t="str">
        <x:v>候选指标，待课程评审；没有实测结果
Предлагаемые показатели; требуется рассмотрение, измерений нет</x:v>
      </x:c>
    </x:row>
    <x:row r="7" ht="57" customHeight="1">
      <x:c r="A7" s="17" t="str">
        <x:v>A-002</x:v>
      </x:c>
      <x:c r="B7" s="18" t="str">
        <x:v>易用性试点
Пилот удобства</x:v>
      </x:c>
      <x:c r="C7" s="18" t="str">
        <x:v>候选：20名受邀学生使用合成账号，至少18人无需帮助在3分钟内完成查询、预约、查看结果；试点在业务实现后安排。
Предложение: 20 приглашённых студентов с тестовыми аккаунтами; не менее 18 без помощи находят место, бронируют и видят результат за 3 минуты. Пилот проводится после реализации.</x:v>
      </x:c>
      <x:c r="D7" s="18" t="str">
        <x:v>候选样本与指标，未招募、未执行
Предлагаемые выборка и критерий; участники не набраны, пилот не проведён</x:v>
      </x:c>
    </x:row>
    <x:row r="8" ht="57" customHeight="1">
      <x:c r="A8" s="13" t="str">
        <x:v>A-003</x:v>
      </x:c>
      <x:c r="B8" s="14" t="str">
        <x:v>会话策略
Политика сессий</x:v>
      </x:c>
      <x:c r="C8" s="14" t="str">
        <x:v>候选：空闲30分钟后会话失效；退出后旧会话不能调用受限接口；密码与恢复机制由技术评审确定。
Предложение: истечение сессии после 30 минут бездействия; после выхода прежняя сессия не получает доступ к закрытым операциям. Пароли и восстановление определяются техническим рассмотрением.</x:v>
      </x:c>
      <x:c r="D8" s="14" t="str">
        <x:v>技术候选，待评审
Техническое предложение; требуется рассмотрение</x:v>
      </x:c>
    </x:row>
    <x:row r="9" ht="57" customHeight="1">
      <x:c r="A9" s="17" t="str">
        <x:v>A-004</x:v>
      </x:c>
      <x:c r="B9" s="18" t="str">
        <x:v>恢复演练目标
Цель восстановления</x:v>
      </x:c>
      <x:c r="C9" s="18" t="str">
        <x:v>候选：在A-001资源环境中恢复含1,000条合成预约的备份，30分钟内完成校验与到期清理；清理后应保留记录的主键、关联和计数100%一致。
Предложение: в среде A-001 восстановить резервную копию с 1 000 тестовых бронирований за 30 минут, включая проверку и очистку. Ключи, связи и количество подлежащих сохранению записей должны совпасть на 100%.</x:v>
      </x:c>
      <x:c r="D9" s="18" t="str">
        <x:v>候选目标，未演练
Предлагаемая цель; упражнение не выполнено</x:v>
      </x:c>
    </x:row>
    <x:row r="10" ht="57" customHeight="1">
      <x:c r="A10" s="13" t="str">
        <x:v>A-005</x:v>
      </x:c>
      <x:c r="B10" s="14" t="str">
        <x:v>业务时间收益
Экономия времени</x:v>
      </x:c>
      <x:c r="C10" s="14" t="str">
        <x:v>候选：试点后两周内，至少20组配对任务的确认预约中位耗时较既有人工流程下降30%；人工流程基线尚未采集。
Предложение: за две недели пилота медианное время подтверждения бронирования снизить на 30% относительно ручного процесса по минимум 20 парным заданиям. Исходные измерения пока отсутствуют.</x:v>
      </x:c>
      <x:c r="D10" s="14" t="str">
        <x:v>候选业务指标，基线待采集
Предлагаемый бизнес-показатель; исходные данные ещё нужны</x:v>
      </x:c>
    </x:row>
    <x:row r="11" ht="57" customHeight="1">
      <x:c r="A11" s="17" t="str">
        <x:v>A-006</x:v>
      </x:c>
      <x:c r="B11" s="18" t="str">
        <x:v>API错误约定
Контракт ошибок API</x:v>
      </x:c>
      <x:c r="C11" s="18" t="str">
        <x:v>候选：JSON业务错误统一含code、message、request_id；具体端点、状态码及认证方案在接口评审中确定。
Предложение: JSON-ошибка содержит code, message, request_id. Конкретные конечные точки, HTTP-коды и аутентификация определяются при рассмотрении интерфейса.</x:v>
      </x:c>
      <x:c r="D11" s="18" t="str">
        <x:v>接口设计候选，未实现
Предложение интерфейса; не реализовано</x:v>
      </x:c>
    </x:row>
    <x:row r="12" ht="57" customHeight="1">
      <x:c r="A12" s="13" t="str">
        <x:v>A-007</x:v>
      </x:c>
      <x:c r="B12" s="14" t="str">
        <x:v>培训与迁移验收
Обучение и приёмка перехода</x:v>
      </x:c>
      <x:c r="C12" s="14" t="str">
        <x:v>候选：管理员完成审核、启停、开放例外、取消、查询5类演练；迁移用合成数据，逐表核对计数、主键和约束。
Предложение: администратор выполняет пять учебных сценариев: проверка, деактивация, исключения часов, отмена, поиск. Миграция использует тестовые данные; сверяются количества, ключи и ограничения по таблицам.</x:v>
      </x:c>
      <x:c r="D12" s="14" t="str">
        <x:v>过渡计划候选，未执行
Предлагаемый план перехода; не выполнен</x:v>
      </x:c>
    </x:row>
    <x:row r="13" ht="57" customHeight="1">
      <x:c r="A13" s="17" t="str">
        <x:v>A-008</x:v>
      </x:c>
      <x:c r="B13" s="18" t="str">
        <x:v>未来扩展范围
Будущие расширения</x:v>
      </x:c>
      <x:c r="C13" s="18" t="str">
        <x:v>提醒、QR签到、违约、使用率保持FUTURE。渠道、时机、令牌、申诉和使用率分母未定，本轮不据此开发。
Напоминания, QR, нарушения и загрузка остаются FUTURE. Канал, момент отправки, токены, оспаривание и знаменатель загрузки не определены; в этом выпуске разработка не выполняется.</x:v>
      </x:c>
      <x:c r="D13" s="18" t="str">
        <x:v>范围已记录；细节待后续客户答复
Объём записан; детали требуют последующих ответов</x:v>
      </x:c>
    </x:row>
  </x:sheetData>
  <x:pageMargins left="0.7" right="0.7" top="0.75" bottom="0.75" header="0.3" footer="0.3"/>
  <x:tableParts count="1">
    <x:tablePart xmlns:r="http://schemas.openxmlformats.org/officeDocument/2006/relationships" r:id="R30972e81678740d2"/>
  </x:tableParts>
</x:worksheet>
</file>

<file path=xl/worksheets/sheet6.xml><?xml version="1.0" encoding="utf-8"?>
<x:worksheet xmlns:x="http://schemas.openxmlformats.org/spreadsheetml/2006/main">
  <x:sheetPr>
    <x:tabColor rgb="FF8AA9C4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5" hidden="0" customWidth="1"/>
    <x:col min="2" max="2" width="78" hidden="0" customWidth="1"/>
    <x:col min="3" max="3" width="78" hidden="0" customWidth="1"/>
    <x:col min="4" max="4" width="42" hidden="0" customWidth="1"/>
    <x:col min="5" max="5" width="95" hidden="0" customWidth="1"/>
  </x:cols>
  <x:sheetData>
    <x:row r="2" ht="28" customHeight="1">
      <x:c r="A2" s="1" t="str">
        <x:v>利益相关方分析 Анализ участников</x:v>
      </x:c>
      <x:c r="B2" s="1"/>
      <x:c r="C2" s="1"/>
      <x:c r="D2" s="1"/>
      <x:c r="E2" s="1"/>
    </x:row>
    <x:row r="3">
      <x:c r="A3" s="2" t="str">
        <x:v>课堂版 v0.2 / Учебная v0.2   2026-10-13   来源 / Источник 0.3.0</x:v>
      </x:c>
      <x:c r="B3" s="2"/>
      <x:c r="C3" s="2"/>
      <x:c r="D3" s="2"/>
      <x:c r="E3" s="2"/>
    </x:row>
    <x:row r="5" ht="40" customHeight="1">
      <x:c r="A5" s="9" t="str">
        <x:v>角色
Роль</x:v>
      </x:c>
      <x:c r="B5" s="10" t="str">
        <x:v>需要
Потребность</x:v>
      </x:c>
      <x:c r="C5" s="10" t="str">
        <x:v>遗漏风险
Риск пропуска</x:v>
      </x:c>
      <x:c r="D5" s="10" t="str">
        <x:v>来源
Источник</x:v>
      </x:c>
      <x:c r="E5" s="11" t="str">
        <x:v>关联需求
Требования</x:v>
      </x:c>
    </x:row>
    <x:row r="6" ht="42" customHeight="1">
      <x:c r="A6" s="13" t="str">
        <x:v>学生
Студент</x:v>
      </x:c>
      <x:c r="B6" s="14" t="str">
        <x:v>找到可用座位，预约、取消、查看本人记录
Найти место, забронировать, отменить и видеть свои записи</x:v>
      </x:c>
      <x:c r="C6" s="14" t="str">
        <x:v>多条非重叠被错误限制、身份未核验、读到他人记录
Ошибочный общий лимит, неподтверждённая личность, чужие записи</x:v>
      </x:c>
      <x:c r="D6" s="14" t="str">
        <x:v>DEC-002, DEC-003, DEC-016</x:v>
      </x:c>
      <x:c r="E6" s="14" t="str">
        <x:v>SP-FR-001, SP-FR-005, SP-FR-008, SP-FR-010, SP-FR-011, SP-FR-012, SP-FR-013, SP-IF-001, SP-DR-001, SP-DR-002</x:v>
      </x:c>
    </x:row>
    <x:row r="7" ht="42" customHeight="1">
      <x:c r="A7" s="17" t="str">
        <x:v>学校管理员
Администратор вуза</x:v>
      </x:c>
      <x:c r="B7" s="18" t="str">
        <x:v>审核身份，管理资源、时段、取消与统计
Проверять принадлежность, вести ресурсы, часы, отмены и статистику</x:v>
      </x:c>
      <x:c r="C7" s="18" t="str">
        <x:v>停用后仍留有效预约、统计口径不一致
Действующие записи после отключения, несогласованные показатели</x:v>
      </x:c>
      <x:c r="D7" s="18" t="str">
        <x:v>DEC-005, DEC-011, DEC-012, DEC-013</x:v>
      </x:c>
      <x:c r="E7" s="18" t="str">
        <x:v>SP-BR-003, SP-BR-004, SP-FR-006, SP-FR-014, SP-FR-015, SP-FR-016, SP-FR-017, SP-FR-020, SP-FR-021, SP-FR-022, SP-FR-023, SP-FR-024, SP-FR-025, SP-FR-026, SP-FR-031, SP-IF-002</x:v>
      </x:c>
    </x:row>
    <x:row r="8" ht="57" customHeight="1">
      <x:c r="A8" s="13" t="str">
        <x:v>学校身份来源负责人
Владелец источника идентификации вуза</x:v>
      </x:c>
      <x:c r="B8" s="14" t="str">
        <x:v>明确可接受证据及引用方式
Определить доверенное доказательство и ссылку</x:v>
      </x:c>
      <x:c r="C8" s="14" t="str">
        <x:v>把模拟名单或邮箱当真实核验
Тестовый список или почта выдаются за настоящую проверку</x:v>
      </x:c>
      <x:c r="D8" s="14" t="str">
        <x:v>OPEN-003, DEC-003</x:v>
      </x:c>
      <x:c r="E8" s="14" t="str">
        <x:v>SP-IF-002</x:v>
      </x:c>
    </x:row>
    <x:row r="9" ht="42" customHeight="1">
      <x:c r="A9" s="17" t="str">
        <x:v>运维维护者
Оператор сопровождения</x:v>
      </x:c>
      <x:c r="B9" s="18" t="str">
        <x:v>诊断、备份、恢复、HTTPS交接
Диагностика, копии, восстановление, HTTPS</x:v>
      </x:c>
      <x:c r="C9" s="18" t="str">
        <x:v>恢复过期身份数据、域名未定却声称已上线
Возвращение истёкших данных, заявление о запуске без домена</x:v>
      </x:c>
      <x:c r="D9" s="18" t="str">
        <x:v>DEC-007, DEC-010, DEC-015</x:v>
      </x:c>
      <x:c r="E9" s="18" t="str">
        <x:v>SP-NFR-003, SP-NFR-005, SP-NFR-007, SP-DR-002, SP-DR-003, SP-C-005, SP-TR-001, SP-TR-003</x:v>
      </x:c>
    </x:row>
    <x:row r="10" ht="42" customHeight="1">
      <x:c r="A10" s="13" t="str">
        <x:v>四人课程团队
Команда из четырёх участников</x:v>
      </x:c>
      <x:c r="B10" s="14" t="str">
        <x:v>稳定ID、双语、职责与可复核交付
Стабильные ID, два языка, роли и проверяемая передача</x:v>
      </x:c>
      <x:c r="C10" s="14" t="str">
        <x:v>原BR业务规则误分类，版本倒退，虚构成员评审
Ошибочный тип BR, откат версии, выдуманная экспертиза</x:v>
      </x:c>
      <x:c r="D10" s="14" t="str">
        <x:v>DEC-014, DEC-017</x:v>
      </x:c>
      <x:c r="E10" s="14" t="str">
        <x:v>SP-BR-005, SP-NFR-008, SP-C-004</x:v>
      </x:c>
    </x:row>
    <x:row r="11" ht="42" customHeight="1">
      <x:c r="A11" s="17" t="str">
        <x:v>验收老师
Принимающий преподаватель</x:v>
      </x:c>
      <x:c r="B11" s="18" t="str">
        <x:v>可追踪需求、明确验收与真实证据
Трассируемые требования, критерии и фактические свидетельства</x:v>
      </x:c>
      <x:c r="C11" s="18" t="str">
        <x:v>未确定评分、期限和提交格式
Неизвестные оценка, срок и формат</x:v>
      </x:c>
      <x:c r="D11" s="18" t="str">
        <x:v>OPEN-008, DEC-008</x:v>
      </x:c>
      <x:c r="E11" s="18" t="str">
        <x:v>SP-C-006</x:v>
      </x:c>
    </x:row>
  </x:sheetData>
  <x:pageMargins left="0.7" right="0.7" top="0.75" bottom="0.75" header="0.3" footer="0.3"/>
  <x:tableParts count="1">
    <x:tablePart xmlns:r="http://schemas.openxmlformats.org/officeDocument/2006/relationships" r:id="Rf6d745ee63db40c1"/>
  </x:tableParts>
</x:worksheet>
</file>

<file path=xl/worksheets/sheet7.xml><?xml version="1.0" encoding="utf-8"?>
<x:worksheet xmlns:x="http://schemas.openxmlformats.org/spreadsheetml/2006/main">
  <x:sheetPr>
    <x:tabColor rgb="FF8AA9C4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68" hidden="0" customWidth="1"/>
    <x:col min="3" max="3" width="110" hidden="0" customWidth="1"/>
    <x:col min="4" max="4" width="28" hidden="0" customWidth="1"/>
    <x:col min="5" max="5" width="65" hidden="0" customWidth="1"/>
  </x:cols>
  <x:sheetData>
    <x:row r="2" ht="28" customHeight="1">
      <x:c r="A2" s="1" t="str">
        <x:v>既有答复与补充问题 Ответы и вопросы интервью</x:v>
      </x:c>
      <x:c r="B2" s="1"/>
      <x:c r="C2" s="1"/>
      <x:c r="D2" s="1"/>
      <x:c r="E2" s="1"/>
    </x:row>
    <x:row r="3">
      <x:c r="A3" s="2" t="str">
        <x:v>课堂版 v0.2 / Учебная v0.2   2026-10-13   来源 / Источник 0.3.0</x:v>
      </x:c>
      <x:c r="B3" s="2"/>
      <x:c r="C3" s="2"/>
      <x:c r="D3" s="2"/>
      <x:c r="E3" s="2"/>
    </x:row>
    <x:row r="5" ht="40" customHeight="1">
      <x:c r="A5" s="9" t="str">
        <x:v>ID</x:v>
      </x:c>
      <x:c r="B5" s="10" t="str">
        <x:v>问题
Вопрос</x:v>
      </x:c>
      <x:c r="C5" s="10" t="str">
        <x:v>答复或待答复内容
Ответ или ожидаемый ответ</x:v>
      </x:c>
      <x:c r="D5" s="10" t="str">
        <x:v>依据
Основание</x:v>
      </x:c>
      <x:c r="E5" s="11" t="str">
        <x:v>状态
Состояние</x:v>
      </x:c>
    </x:row>
    <x:row r="6" ht="57" customHeight="1">
      <x:c r="A6" s="13" t="str">
        <x:v>INT-001</x:v>
      </x:c>
      <x:c r="B6" s="14" t="str">
        <x:v>预约单位是房间还是座位？
Бронируется помещение или место?</x:v>
      </x:c>
      <x:c r="C6" s="14" t="str">
        <x:v>MVP预约单个座位，房间是座位的父资源；FR-017和TC-017移入MVP，原编号保留。
MVP бронирует отдельное место, помещение является родительским ресурсом; FR-017 и TC-017 включены в MVP с сохранением ID.</x:v>
      </x:c>
      <x:c r="D6" s="14" t="str">
        <x:v>DEC-002</x:v>
      </x:c>
      <x:c r="E6" s="14" t="str">
        <x:v>既有答复整理 CONFIRMED
Систематизация прежнего ответа CONFIRMED</x:v>
      </x:c>
    </x:row>
    <x:row r="7" ht="87" customHeight="1">
      <x:c r="A7" s="17" t="str">
        <x:v>INT-002</x:v>
      </x:c>
      <x:c r="B7" s="18" t="str">
        <x:v>同一学生可否预约不同时间段？
Может ли студент бронировать разные интервалы?</x:v>
      </x:c>
      <x:c r="C7" s="18" t="str">
        <x:v>用户明确要求同一学生每个时间段仅1预约，非重叠时段允许多条，包括同日、不同未来日。使用[start,end)，同user时间重叠拒绝，相邻允许；每条仍仅1seat且最多24h。替代DEC-004旧总量解释，不增加全日或全部未来总数限额。
Пользователь требует одну запись в пересекающемся времени, несколько непересекающихся допустимы в один или разные будущие дни. [start,end): пересечение одногоuser отклоняется, соседние допустимы; одноseat и24ч на запись. Старый глобальный лимитDEC-004 заменён, суммарного дневного/будущего лимита нет.</x:v>
      </x:c>
      <x:c r="D7" s="18" t="str">
        <x:v>DEC-016</x:v>
      </x:c>
      <x:c r="E7" s="18" t="str">
        <x:v>既有答复整理 CONFIRMED
Систематизация прежнего ответа CONFIRMED</x:v>
      </x:c>
    </x:row>
    <x:row r="8" ht="57" customHeight="1">
      <x:c r="A8" s="13" t="str">
        <x:v>INT-003</x:v>
      </x:c>
      <x:c r="B8" s="14" t="str">
        <x:v>最长预约多久？
Какова максимальная длительность?</x:v>
      </x:c>
      <x:c r="C8" s="14" t="str">
        <x:v>最长一天解释为24小时硬上限、每次仅1seat；学生并发限制由后续用户确认DEC-016明确为时段互斥，旧全局未结束总量解释已被替代。
Сутки — предел24ч, одноseat в записи; по последующемуDEC-016 лимит касается пересечения интервалов, прежнее глобальное толкование незавершённых записей заменено.</x:v>
      </x:c>
      <x:c r="D8" s="14" t="str">
        <x:v>DEC-004</x:v>
      </x:c>
      <x:c r="E8" s="14" t="str">
        <x:v>既有答复整理 CONFIRMED
Систематизация прежнего ответа CONFIRMED</x:v>
      </x:c>
    </x:row>
    <x:row r="9" ht="102" customHeight="1">
      <x:c r="A9" s="17" t="str">
        <x:v>INT-004</x:v>
      </x:c>
      <x:c r="B9" s="18" t="str">
        <x:v>开放时间与取消规则是什么？
Каковы часы работы и правила отмены?</x:v>
      </x:c>
      <x:c r="C9" s="18" t="str">
        <x:v>每天08:00–22:00，30分钟粒度/最短时长，预约开始严格晚于锁后判定时刻；同业务日[D00:00,(D+1)00:00)，结束允许恰为下一日00:00边界。开始前学生可取消，之后管理员带原因取消；重复取消幂等。停用及开放缩减同事务取消受影响未结束预约，恢复不复活旧预约。
Ежедневно 08:00–22:00, шаг и минимум 30 минут, начало строго позже момента проверки после блокировок. Один деловой день [D00:00,(D+1)00:00), окончание может совпасть с его правой границей. Студент отменяет до начала, позже — администратор с причиной; повторная отмена идемпотентна. Отключение и сокращение часов атомарно отменяют затронутые незавершённые записи, включение их не восстанавливает.</x:v>
      </x:c>
      <x:c r="D9" s="18" t="str">
        <x:v>DEC-005</x:v>
      </x:c>
      <x:c r="E9" s="18" t="str">
        <x:v>既有答复整理 DELEGATED
Систематизация прежнего ответа DELEGATED</x:v>
      </x:c>
    </x:row>
    <x:row r="10" ht="72" customHeight="1">
      <x:c r="A10" s="13" t="str">
        <x:v>INT-005</x:v>
      </x:c>
      <x:c r="B10" s="14" t="str">
        <x:v>业务时区和提前窗口是什么？
Каковы часовой пояс и горизонт?</x:v>
      </x:c>
      <x:c r="C10" s="14" t="str">
        <x:v>默认Asia/Shanghai，时刻UTC存储、按业务时区展示；日期窗口为判定时刻的今天至今天+6共7个自然日，非滚动168小时。设备时区不替代业务时区。
Выбран Asia/Shanghai; моменты хранятся в UTC и отображаются в деловом поясе. Окно — сегодня ... сегодня+6, семь календарных дней по моменту проверки, а не 168 часов. Пояс устройства не подменяет деловой.</x:v>
      </x:c>
      <x:c r="D10" s="14" t="str">
        <x:v>DEC-006</x:v>
      </x:c>
      <x:c r="E10" s="14" t="str">
        <x:v>既有答复整理 DELEGATED
Систематизация прежнего ответа DELEGATED</x:v>
      </x:c>
    </x:row>
    <x:row r="11" ht="87" customHeight="1">
      <x:c r="A11" s="17" t="str">
        <x:v>INT-006</x:v>
      </x:c>
      <x:c r="B11" s="18" t="str">
        <x:v>校内身份是否必须核验？
Нужна ли проверка принадлежности к вузу?</x:v>
      </x:c>
      <x:c r="C11" s="18" t="str">
        <x:v>只有启用且校内核验通过的学生可预约；暂用管理员人工审核设计，不保存证明影像。实际学校核验材料来源仍待确认，不假设邮箱域名或SSO。
Бронирует только активный студент с подтверждённой принадлежностью к вузу. Выбран проект ручной проверки администратором без хранения изображений; фактический источник подтверждения ещё уточняется, домен и SSO не выдумываются.</x:v>
      </x:c>
      <x:c r="D11" s="18" t="str">
        <x:v>DEC-003</x:v>
      </x:c>
      <x:c r="E11" s="18" t="str">
        <x:v>既有答复整理 CONFIRMED
Систематизация прежнего ответа CONFIRMED</x:v>
      </x:c>
    </x:row>
    <x:row r="12" ht="117" customHeight="1">
      <x:c r="A12" s="13" t="str">
        <x:v>INT-007</x:v>
      </x:c>
      <x:c r="B12" s="14" t="str">
        <x:v>数据保留与备份怎么处理？
Каковы хранение и резервные копии?</x:v>
      </x:c>
      <x:c r="C12" s="14" t="str">
        <x:v>必要字段最少化，学生只看本人，管理员按职责访问；预约从终结、审核/操作从事件起保留180天，备份每日7份。停用30天且无未结束预约仅为去标识化最早门槛，不可逆清除需等所有含身份关联记录到期；此前映射受限。恢复备份先执行到期清理再开放，不声明法律合规。
Минимальные данные, студент видит свои записи, администратор — по роли. Бронирования хранятся 180 дней от завершения, аудит — от события, ежедневных копий семь. 30 дней после отключения без действующих записей — лишь ранний порог; необратимое удаление идентификаторов ждёт истечения всех связанных записей, до этого связь ограничена. После восстановления очистка выполняется до открытия сервиса; правовое соответствие не заявляется.</x:v>
      </x:c>
      <x:c r="D12" s="14" t="str">
        <x:v>DEC-007</x:v>
      </x:c>
      <x:c r="E12" s="14" t="str">
        <x:v>既有答复整理 DELEGATED
Систематизация прежнего ответа DELEGATED</x:v>
      </x:c>
    </x:row>
    <x:row r="13" ht="87" customHeight="1">
      <x:c r="A13" s="17" t="str">
        <x:v>INT-008</x:v>
      </x:c>
      <x:c r="B13" s="18" t="str">
        <x:v>统计是否包括实际出勤？
Показатели включают фактическое посещение?</x:v>
      </x:c>
      <x:c r="C13" s="18" t="str">
        <x:v>三项统计统一按预约业务日期D及一致快照as_of：累计创建、累计取消、未取消且未结束数量。未来记录计入未结束，不等于出勤或占用；过期清理数据标不可统计，不伪造为0。
Три показателя по дате бронирования D и одному as_of: создано, отменено, неотменённых незавершённых. Будущие включаются в последние; это не посещаемость и не занятость. Удалённые данные обозначаются недоступными, а не нулём.</x:v>
      </x:c>
      <x:c r="D13" s="18" t="str">
        <x:v>DEC-012</x:v>
      </x:c>
      <x:c r="E13" s="18" t="str">
        <x:v>既有答复整理 DELEGATED
Систематизация прежнего ответа DELEGATED</x:v>
      </x:c>
    </x:row>
    <x:row r="14" ht="57" customHeight="1">
      <x:c r="A14" s="13" t="str">
        <x:v>INT-009</x:v>
      </x:c>
      <x:c r="B14" s="14" t="str">
        <x:v>语言与文档要求是什么？
Какие языки интерфейса и документов?</x:v>
      </x:c>
      <x:c r="C14" s="14" t="str">
        <x:v>界面zh-CN、ru-RU、en-US；正式工程文档仍中文与俄语成对。初始化首页三语不证明完整业务三语验收。
Интерфейс: zh-CN, ru-RU, en-US; официальные документы парные китайские и русские. Три языка стартовой страницы не означают приёмку всех бизнес-сценариев.</x:v>
      </x:c>
      <x:c r="D14" s="14" t="str">
        <x:v>DEC-009</x:v>
      </x:c>
      <x:c r="E14" s="14" t="str">
        <x:v>既有答复整理 CONFIRMED
Систематизация прежнего ответа CONFIRMED</x:v>
      </x:c>
    </x:row>
    <x:row r="15" ht="87" customHeight="1">
      <x:c r="A15" s="17" t="str">
        <x:v>INT-010</x:v>
      </x:c>
      <x:c r="B15" s="18" t="str">
        <x:v>管理员如何创建与维护？
Как создаётся и обслуживается администратор?</x:v>
      </x:c>
      <x:c r="C15" s="18" t="str">
        <x:v>管理员由显式CLI交互建号，无默认密码或注册升权；启停、角色和校内核验独立。停用账号原子取消其未结束预约；学生身份字段更改需重新核验。
Администратор создаётся явной интерактивной CLI без пароля по умолчанию или повышения прав при регистрации. Активность, роль и проверка независимы; отключение атомарно отменяет незавершённые записи, изменение студенческих идентификаторов требует повторной проверки.</x:v>
      </x:c>
      <x:c r="D15" s="18" t="str">
        <x:v>DEC-013</x:v>
      </x:c>
      <x:c r="E15" s="18" t="str">
        <x:v>既有答复整理 DELEGATED
Систематизация прежнего ответа DELEGATED</x:v>
      </x:c>
    </x:row>
    <x:row r="16" ht="87" customHeight="1">
      <x:c r="A16" s="13" t="str">
        <x:v>INT-011</x:v>
      </x:c>
      <x:c r="B16" s="14" t="str">
        <x:v>谁负责需求和审阅？
Кто отвечает за требования и рассмотрение?</x:v>
      </x:c>
      <x:c r="C16" s="14" t="str">
        <x:v>用户要求按附图分配；图片四角色为分析员/ТЗ作者、文档编辑、测试员、项目经理。按此前成员名单顺序对应A支浩然、B俞智文、C曹浩然、D吕嘉伟；图片没有姓名对应，本项目明确按名单顺序安排。仍4人，可按主题轮换并交接。
Пользователь указал изображение: аналитик/авторТЗ, редактор, тестировщик, менеджер. По порядку прежнего списка назначеныA支浩然,B俞智文,C曹浩然,D吕嘉伟; имён в изображении нет, соответствие порядка явно принято здесь. Команда4, смена ролей по темам с передачей.</x:v>
      </x:c>
      <x:c r="D16" s="14" t="str">
        <x:v>DEC-017</x:v>
      </x:c>
      <x:c r="E16" s="14" t="str">
        <x:v>既有答复整理 CONFIRMED
Систематизация прежнего ответа CONFIRMED</x:v>
      </x:c>
    </x:row>
    <x:row r="17" ht="42" customHeight="1">
      <x:c r="A17" s="17" t="str">
        <x:v>INT-012</x:v>
      </x:c>
      <x:c r="B17" s="18" t="str">
        <x:v>学校接受哪些真实身份来源？
Какой фактический источник принимает вуз?</x:v>
      </x:c>
      <x:c r="C17" s="18" t="str">
        <x:v>尚无学校来源渠道的实际答复；由项目经理向学校确认，未确认前不得自动通过审核。
Фактического ответа об источнике нет; менеджер уточняет у вуза, без ответа автоматический успех запрещён.</x:v>
      </x:c>
      <x:c r="D17" s="18" t="str">
        <x:v>OPEN-003</x:v>
      </x:c>
      <x:c r="E17" s="18" t="str">
        <x:v>待答复
Ответ ожидается</x:v>
      </x:c>
    </x:row>
    <x:row r="18" ht="42" customHeight="1">
      <x:c r="A18" s="13" t="str">
        <x:v>INT-013</x:v>
      </x:c>
      <x:c r="B18" s="14" t="str">
        <x:v>老师姓名、截止时间、评分与提交格式是什么？
Каковы имя преподавателя, срок, оценка и формат?</x:v>
      </x:c>
      <x:c r="C18" s="14" t="str">
        <x:v>老师验收已确认，其他课程条件未提供；由项目经理核对课程要求。
Приёмка преподавателем подтверждена; остальные условия не предоставлены, менеджер сверяет задание.</x:v>
      </x:c>
      <x:c r="D18" s="14" t="str">
        <x:v>OPEN-008</x:v>
      </x:c>
      <x:c r="E18" s="14" t="str">
        <x:v>待答复
Ответ ожидается</x:v>
      </x:c>
    </x:row>
    <x:row r="19" ht="42" customHeight="1">
      <x:c r="A19" s="17" t="str">
        <x:v>INT-014</x:v>
      </x:c>
      <x:c r="B19" s="18" t="str">
        <x:v>部署服务器、域名、DNS和证书如何安排？
Каковы сервер, домен, DNS и сертификат?</x:v>
      </x:c>
      <x:c r="C19" s="18" t="str">
        <x:v>Docker与HTTPS偏好已记录，但实际环境未提供；运行维护者确认后才能部署。
Предпочтения Docker и HTTPS записаны, но фактическая среда не задана; оператор уточняет её до размещения.</x:v>
      </x:c>
      <x:c r="D19" s="18" t="str">
        <x:v>OPEN-010</x:v>
      </x:c>
      <x:c r="E19" s="18" t="str">
        <x:v>待答复
Ответ ожидается</x:v>
      </x:c>
    </x:row>
    <x:row r="20" ht="42" customHeight="1">
      <x:c r="A20" s="13" t="str">
        <x:v>INT-015</x:v>
      </x:c>
      <x:c r="B20" s="14" t="str">
        <x:v>候选性能、会话与收益目标是否接受？
Принимаются ли предлагаемые цели скорости, сессии и выгоды?</x:v>
      </x:c>
      <x:c r="C20" s="14" t="str">
        <x:v>本次提出候选指标，没有新增客户答复；由团队和老师评审。
В этой работе предложены показатели, нового ответа заказчика нет; их рассматривают команда и преподаватель.</x:v>
      </x:c>
      <x:c r="D20" s="14" t="str">
        <x:v>A-001/A-003/A-005</x:v>
      </x:c>
      <x:c r="E20" s="14" t="str">
        <x:v>待答复
Ответ ожидается</x:v>
      </x:c>
    </x:row>
  </x:sheetData>
  <x:pageMargins left="0.7" right="0.7" top="0.75" bottom="0.75" header="0.3" footer="0.3"/>
  <x:tableParts count="1">
    <x:tablePart xmlns:r="http://schemas.openxmlformats.org/officeDocument/2006/relationships" r:id="Rc741a96a78954512"/>
  </x:tableParts>
</x:worksheet>
</file>

<file path=xl/worksheets/sheet8.xml><?xml version="1.0" encoding="utf-8"?>
<x:worksheet xmlns:x="http://schemas.openxmlformats.org/spreadsheetml/2006/main">
  <x:sheetPr>
    <x:tabColor rgb="FF8AA9C4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6" hidden="0" customWidth="1"/>
    <x:col min="2" max="2" width="36" hidden="0" customWidth="1"/>
    <x:col min="3" max="3" width="92" hidden="0" customWidth="1"/>
    <x:col min="4" max="4" width="110" hidden="0" customWidth="1"/>
    <x:col min="5" max="5" width="105" hidden="0" customWidth="1"/>
    <x:col min="6" max="6" width="16" hidden="0" customWidth="1"/>
    <x:col min="7" max="7" width="30" hidden="0" customWidth="1"/>
    <x:col min="8" max="8" width="16" hidden="0" customWidth="1"/>
  </x:cols>
  <x:sheetData>
    <x:row r="2" ht="28" customHeight="1">
      <x:c r="A2" s="1" t="str">
        <x:v>用户故事与验收 Истории и приёмка</x:v>
      </x:c>
      <x:c r="B2" s="1"/>
      <x:c r="C2" s="1"/>
      <x:c r="D2" s="1"/>
      <x:c r="E2" s="1"/>
      <x:c r="F2" s="1"/>
      <x:c r="G2" s="1"/>
      <x:c r="H2" s="1"/>
    </x:row>
    <x:row r="3">
      <x:c r="A3" s="2" t="str">
        <x:v>课堂版 v0.2 / Учебная v0.2   2026-10-13   来源 / Источник 0.3.0</x:v>
      </x:c>
      <x:c r="B3" s="2"/>
      <x:c r="C3" s="2"/>
      <x:c r="D3" s="2"/>
      <x:c r="E3" s="2"/>
      <x:c r="F3" s="2"/>
      <x:c r="G3" s="2"/>
      <x:c r="H3" s="2"/>
    </x:row>
    <x:row r="5" ht="40" customHeight="1">
      <x:c r="A5" s="9" t="str">
        <x:v>ID</x:v>
      </x:c>
      <x:c r="B5" s="10" t="str">
        <x:v>角色
Роль</x:v>
      </x:c>
      <x:c r="C5" s="10" t="str">
        <x:v>故事
История</x:v>
      </x:c>
      <x:c r="D5" s="10" t="str">
        <x:v>验收标准
Критерии</x:v>
      </x:c>
      <x:c r="E5" s="10" t="str">
        <x:v>需求ID
Требования</x:v>
      </x:c>
      <x:c r="F5" s="10" t="str">
        <x:v>优先级
Приоритет</x:v>
      </x:c>
      <x:c r="G5" s="10" t="str">
        <x:v>负责人
Ответственный</x:v>
      </x:c>
      <x:c r="H5" s="11" t="str">
        <x:v>状态
Состояние</x:v>
      </x:c>
    </x:row>
    <x:row r="6" ht="102" customHeight="1">
      <x:c r="A6" s="13" t="str">
        <x:v>US-001</x:v>
      </x:c>
      <x:c r="B6" s="14" t="str">
        <x:v>已核验学生
Подтверждённый студент</x:v>
      </x:c>
      <x:c r="C6" s="14" t="str">
        <x:v>作为已核验学生，我希望按位置和时段找座位，以便选择合适的学习地点。
Как подтверждённый студент, я хочу искать места по расположению и времени, чтобы выбрать подходящее место для учёбы.</x:v>
      </x:c>
      <x:c r="D6" s="14" t="str">
        <x:v>正常：匹配条件的空闲启用座位被返回。
异常：停用房间、座位或已占用区间不返回。
边界：相邻区间可用，第+6日有效，第+7日拒绝。
Норма: возвращаются подходящие свободные активные места.
Отказ: неактивные помещения, места и занятые интервалы исключены.
Граница: соседний интервал доступен, день +6 допустим, +7 запрещён.</x:v>
      </x:c>
      <x:c r="E6" s="14" t="str">
        <x:v>SP-C-003, SP-FR-005, SP-FR-006, SP-FR-007, SP-NFR-002</x:v>
      </x:c>
      <x:c r="F6" s="14" t="str">
        <x:v>Must</x:v>
      </x:c>
      <x:c r="G6" s="14" t="str">
        <x:v>支浩然 / 分析员 / аналитик</x:v>
      </x:c>
      <x:c r="H6" s="14" t="str">
        <x:v>DRAFT</x:v>
      </x:c>
    </x:row>
    <x:row r="7" ht="102" customHeight="1">
      <x:c r="A7" s="17" t="str">
        <x:v>US-002</x:v>
      </x:c>
      <x:c r="B7" s="18" t="str">
        <x:v>已核验学生
Подтверждённый студент</x:v>
      </x:c>
      <x:c r="C7" s="18" t="str">
        <x:v>作为已核验学生，我希望预约一个空闲座位，以便获得明确的学习时段。
Как подтверждённый студент, я хочу забронировать одно свободное место, чтобы иметь определённый интервал для учёбы.</x:v>
      </x:c>
      <x:c r="D7" s="18" t="str">
        <x:v>正常：合法请求只创建1条记录并返回ID。
异常：未核验或同学生不同座位重叠的请求拒绝。
边界与并发：相邻、非重叠多条允许；同座位同时间竞争仅1成功。
Норма: допустимая заявка создаёт одну запись с ID.
Отказ: неподтверждённый студент и пересечение студента на разных местах запрещены.
Граница и гонка: соседние и несколько непересекающихся разрешены; на одно место и время один успех.</x:v>
      </x:c>
      <x:c r="E7" s="18" t="str">
        <x:v>SP-BR-002, SP-C-001, SP-C-003, SP-FR-007, SP-FR-008, SP-FR-009, SP-FR-015, SP-IF-001, SP-NFR-004</x:v>
      </x:c>
      <x:c r="F7" s="18" t="str">
        <x:v>Must</x:v>
      </x:c>
      <x:c r="G7" s="18" t="str">
        <x:v>支浩然 / 分析员 / аналитик</x:v>
      </x:c>
      <x:c r="H7" s="18" t="str">
        <x:v>DRAFT</x:v>
      </x:c>
    </x:row>
    <x:row r="8" ht="102" customHeight="1">
      <x:c r="A8" s="13" t="str">
        <x:v>US-003</x:v>
      </x:c>
      <x:c r="B8" s="14" t="str">
        <x:v>预约所有者
Владелец бронирования</x:v>
      </x:c>
      <x:c r="C8" s="14" t="str">
        <x:v>作为预约所有者，我希望在开始前取消预约，以便释放不再需要的座位。
Как владелец записи, я хочу отменить её до начала, чтобы освободить ненужное место.</x:v>
      </x:c>
      <x:c r="D8" s="14" t="str">
        <x:v>正常：开始前取消本人记录，释放对应时段。
异常：他人记录或已开始记录拒绝学生取消。
边界：now=start拒绝；重复取消无重复计数；其他预约保持。
Норма: своя запись отменена до начала, интервал освобождён.
Отказ: чужая и начавшаяся записи недоступны для отмены студентом.
Граница: now=start запрещено; повтор без двойного счёта, остальные записи сохранены.</x:v>
      </x:c>
      <x:c r="E8" s="14" t="str">
        <x:v>SP-FR-010, SP-FR-011, SP-FR-012, SP-IF-001</x:v>
      </x:c>
      <x:c r="F8" s="14" t="str">
        <x:v>Must</x:v>
      </x:c>
      <x:c r="G8" s="14" t="str">
        <x:v>支浩然 / 分析员 / аналитик</x:v>
      </x:c>
      <x:c r="H8" s="14" t="str">
        <x:v>DRAFT</x:v>
      </x:c>
    </x:row>
    <x:row r="9" ht="102" customHeight="1">
      <x:c r="A9" s="17" t="str">
        <x:v>US-004</x:v>
      </x:c>
      <x:c r="B9" s="18" t="str">
        <x:v>学校管理员
Администратор вуза</x:v>
      </x:c>
      <x:c r="C9" s="18" t="str">
        <x:v>作为管理员，我希望依据可信学校来源审核学生，以便只有合格账号能够预约。
Как администратор, я хочу проверять студента по доверенному источнику вуза, чтобы бронировали только допущенные аккаунты.</x:v>
      </x:c>
      <x:c r="D9" s="18" t="str">
        <x:v>正常：有可信来源的审核保存审核人、时刻、决定与引用。
异常：来源缺失或不可验证不得标VERIFIED。
边界：身份变更重置PENDING；停用与审核竞争不获得预约资格。
Норма: проверка с доверенным источником сохраняет проверяющего, время, решение и ссылку.
Отказ: отсутствие или непроверяемость источника не даёт VERIFIED.
Граница: изменение идентификаторов возвращает PENDING; гонка отключения и проверки не даёт допуск.</x:v>
      </x:c>
      <x:c r="E9" s="18" t="str">
        <x:v>SP-BR-003, SP-DR-001, SP-FR-001, SP-FR-004, SP-FR-020, SP-FR-021, SP-FR-022, SP-FR-026, SP-FR-031, SP-IF-002, SP-NFR-003</x:v>
      </x:c>
      <x:c r="F9" s="18" t="str">
        <x:v>Must</x:v>
      </x:c>
      <x:c r="G9" s="18" t="str">
        <x:v>支浩然 / 分析员 / аналитик</x:v>
      </x:c>
      <x:c r="H9" s="18" t="str">
        <x:v>DRAFT</x:v>
      </x:c>
    </x:row>
    <x:row r="10" ht="102" customHeight="1">
      <x:c r="A10" s="13" t="str">
        <x:v>US-005</x:v>
      </x:c>
      <x:c r="B10" s="14" t="str">
        <x:v>资源管理员
Администратор ресурсов</x:v>
      </x:c>
      <x:c r="C10" s="14" t="str">
        <x:v>作为管理员，我希望维护座位和开放时间，以便查询与预约反映真实可用配置。
Как администратор, я хочу вести места и часы, чтобы поиск и бронирование отражали действующую конфигурацию.</x:v>
      </x:c>
      <x:c r="D10" s="14" t="str">
        <x:v>正常：管理员维护房间、座位和日期例外后查询立即使用新设置。
异常：学生修改拒绝，同房间重复编码拒绝。
边界：停用只取消受影响未结束记录；重新启用不复活旧预约。
Норма: поиск использует новые помещения, места и исключения администратора.
Отказ: изменение студентом и повторный код внутри помещения запрещены.
Граница: отключение отменяет только затронутые незавершённые записи, включение не восстанавливает старые.</x:v>
      </x:c>
      <x:c r="E10" s="14" t="str">
        <x:v>SP-BR-004, SP-DR-002, SP-FR-006, SP-FR-014, SP-FR-015, SP-FR-016, SP-FR-017, SP-NFR-004</x:v>
      </x:c>
      <x:c r="F10" s="14" t="str">
        <x:v>Must</x:v>
      </x:c>
      <x:c r="G10" s="14" t="str">
        <x:v>支浩然 / 分析员 / аналитик</x:v>
      </x:c>
      <x:c r="H10" s="14" t="str">
        <x:v>DRAFT</x:v>
      </x:c>
    </x:row>
    <x:row r="11" ht="102" customHeight="1">
      <x:c r="A11" s="17" t="str">
        <x:v>US-006</x:v>
      </x:c>
      <x:c r="B11" s="18" t="str">
        <x:v>学生与授权管理员
Студент и уполномоченный администратор</x:v>
      </x:c>
      <x:c r="C11" s="18" t="str">
        <x:v>作为使用者，我希望查看权限范围内的预约和统计，以便核对预约结果与管理记录。
Как пользователь, я хочу видеть записи и показатели в пределах прав, чтобы сверять результаты бронирования и управления.</x:v>
      </x:c>
      <x:c r="D11" s="18" t="str">
        <x:v>正常：学生只见本人，管理员筛选记录与as_of统计一致。
异常：他人数据越权拒绝，已清理历史不伪造为0。
边界：默认20条、最大100；重复取消只增加一次取消数。
Норма: студент видит своё, поиск администратора совпадает со снимком as_of.
Отказ: чужие данные недоступны, очищенная история не выдаётся за 0.
Граница: по умолчанию 20, максимум 100; повторная отмена увеличивает счётчик один раз.</x:v>
      </x:c>
      <x:c r="E11" s="18" t="str">
        <x:v>SP-BR-004, SP-DR-002, SP-FR-013, SP-FR-019, SP-FR-023, SP-FR-024, SP-FR-025, SP-IF-001</x:v>
      </x:c>
      <x:c r="F11" s="18" t="str">
        <x:v>Must</x:v>
      </x:c>
      <x:c r="G11" s="18" t="str">
        <x:v>支浩然 / 分析员 / аналитик</x:v>
      </x:c>
      <x:c r="H11" s="18" t="str">
        <x:v>DRAFT</x:v>
      </x:c>
    </x:row>
  </x:sheetData>
  <x:pageMargins left="0.7" right="0.7" top="0.75" bottom="0.75" header="0.3" footer="0.3"/>
  <x:tableParts count="1">
    <x:tablePart xmlns:r="http://schemas.openxmlformats.org/officeDocument/2006/relationships" r:id="R81a6783deab241fe"/>
  </x:tableParts>
</x:worksheet>
</file>

<file path=xl/worksheets/sheet9.xml><?xml version="1.0" encoding="utf-8"?>
<x:worksheet xmlns:x="http://schemas.openxmlformats.org/spreadsheetml/2006/main">
  <x:sheetPr>
    <x:tabColor rgb="FF8AA9C4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8" hidden="0" customWidth="1"/>
    <x:col min="2" max="2" width="22" hidden="0" customWidth="1"/>
    <x:col min="3" max="3" width="38" hidden="0" customWidth="1"/>
    <x:col min="4" max="4" width="78" hidden="0" customWidth="1"/>
    <x:col min="5" max="5" width="80" hidden="0" customWidth="1"/>
    <x:col min="6" max="6" width="100" hidden="0" customWidth="1"/>
    <x:col min="7" max="7" width="18" hidden="0" customWidth="1"/>
    <x:col min="8" max="8" width="42" hidden="0" customWidth="1"/>
  </x:cols>
  <x:sheetData>
    <x:row r="2" ht="28" customHeight="1">
      <x:c r="A2" s="1" t="str">
        <x:v>候选需求测试计划 План тестов кандидатов</x:v>
      </x:c>
      <x:c r="B2" s="1"/>
      <x:c r="C2" s="1"/>
      <x:c r="D2" s="1"/>
      <x:c r="E2" s="1"/>
      <x:c r="F2" s="1"/>
      <x:c r="G2" s="1"/>
      <x:c r="H2" s="1"/>
    </x:row>
    <x:row r="3">
      <x:c r="A3" s="2" t="str">
        <x:v>课堂版 v0.2 / Учебная v0.2   2026-10-13   来源 / Источник 0.3.0</x:v>
      </x:c>
      <x:c r="B3" s="2"/>
      <x:c r="C3" s="2"/>
      <x:c r="D3" s="2"/>
      <x:c r="E3" s="2"/>
      <x:c r="F3" s="2"/>
      <x:c r="G3" s="2"/>
      <x:c r="H3" s="2"/>
    </x:row>
    <x:row r="5" ht="40" customHeight="1">
      <x:c r="A5" s="9" t="str">
        <x:v>ID</x:v>
      </x:c>
      <x:c r="B5" s="10" t="str">
        <x:v>需求ID
Требование</x:v>
      </x:c>
      <x:c r="C5" s="10" t="str">
        <x:v>名称
Название</x:v>
      </x:c>
      <x:c r="D5" s="10" t="str">
        <x:v>前提
Условия</x:v>
      </x:c>
      <x:c r="E5" s="10" t="str">
        <x:v>步骤
Шаги</x:v>
      </x:c>
      <x:c r="F5" s="10" t="str">
        <x:v>预期
Ожидание</x:v>
      </x:c>
      <x:c r="G5" s="10" t="str">
        <x:v>执行状态
Состояние</x:v>
      </x:c>
      <x:c r="H5" s="11" t="str">
        <x:v>原计划TC
Исходный TC</x:v>
      </x:c>
    </x:row>
    <x:row r="6" ht="57" customHeight="1">
      <x:c r="A6" s="13" t="str">
        <x:v>P-TC-001</x:v>
      </x:c>
      <x:c r="B6" s="14" t="str">
        <x:v>SP-BR-001</x:v>
      </x:c>
      <x:c r="C6" s="14" t="str">
        <x:v>减少预约确认耗时
Сократить время подтверждения</x:v>
      </x:c>
      <x:c r="D6" s="14" t="str">
        <x:v>对应业务实现及需求评审完成后，在隔离环境准备合成数据、角色与可控时钟；外部前提先闭合。
После реализации и рассмотрения подготовить в изолированной среде тестовые данные, роли и управляемые часы; сначала решить внешние условия.</x:v>
      </x:c>
      <x:c r="E6" s="14" t="str">
        <x:v>1.按条目设置条件。2.执行正常、拒绝及边界操作。3.核对以下预期并保存实际证据。
1. Настроить условия записи. 2. Выполнить норму, отказ и границу. 3. Сверить ожидание и сохранить фактическое свидетельство.</x:v>
      </x:c>
      <x:c r="F6" s="14" t="str">
        <x:v>采集至少20组配对任务的两种流程耗时，计算中位数与降幅；没有基线时结论记为未测量。
Измерить оба процесса минимум по 20 парным заданиям, вычислить медианы и снижение; без исходных данных результат считается неизмеренным.</x:v>
      </x:c>
      <x:c r="G6" s="14" t="str">
        <x:v>NOT_RUN</x:v>
      </x:c>
      <x:c r="H6" s="14" t="str"/>
    </x:row>
    <x:row r="7" ht="57" customHeight="1">
      <x:c r="A7" s="17" t="str">
        <x:v>P-TC-002</x:v>
      </x:c>
      <x:c r="B7" s="18" t="str">
        <x:v>SP-BR-002</x:v>
      </x:c>
      <x:c r="C7" s="18" t="str">
        <x:v>消除被接受的预约冲突
Исключить принятые конфликты</x:v>
      </x:c>
      <x:c r="D7" s="18" t="str">
        <x:v>对应业务实现及需求评审完成后，在隔离环境准备合成数据、角色与可控时钟；外部前提先闭合。
После реализации и рассмотрения подготовить в изолированной среде тестовые данные, роли и управляемые часы; сначала решить внешние условия.</x:v>
      </x:c>
      <x:c r="E7" s="18" t="str">
        <x:v>1.按条目设置条件。2.执行正常、拒绝及边界操作。3.核对以下预期并保存实际证据。
1. Настроить условия записи. 2. Выполнить норму, отказ и границу. 3. Сверить ожидание и сохранить фактическое свидетельство.</x:v>
      </x:c>
      <x:c r="F7" s="18" t="str">
        <x:v>对接受记录按user_id和seat_id检查区间，违规重叠数为0。
Проверить интервалы принятых записей по user_id и seat_id; нарушающих пересечений 0.</x:v>
      </x:c>
      <x:c r="G7" s="18" t="str">
        <x:v>NOT_RUN</x:v>
      </x:c>
      <x:c r="H7" s="18" t="str">
        <x:v>TC-008, TC-031, TC-033</x:v>
      </x:c>
    </x:row>
    <x:row r="8" ht="57" customHeight="1">
      <x:c r="A8" s="13" t="str">
        <x:v>P-TC-003</x:v>
      </x:c>
      <x:c r="B8" s="14" t="str">
        <x:v>SP-BR-003</x:v>
      </x:c>
      <x:c r="C8" s="14" t="str">
        <x:v>限制预约资格
Ограничить допуск к бронированию</x:v>
      </x:c>
      <x:c r="D8" s="14" t="str">
        <x:v>对应业务实现及需求评审完成后，在隔离环境准备合成数据、角色与可控时钟；外部前提先闭合。
После реализации и рассмотрения подготовить в изолированной среде тестовые данные, роли и управляемые часы; сначала решить внешние условия.</x:v>
      </x:c>
      <x:c r="E8" s="14" t="str">
        <x:v>1.按条目设置条件。2.执行正常、拒绝及边界操作。3.核对以下预期并保存实际证据。
1. Настроить условия записи. 2. Выполнить норму, отказ и границу. 3. Сверить ожидание и сохранить фактическое свидетельство.</x:v>
      </x:c>
      <x:c r="F8" s="14" t="str">
        <x:v>待核验、拒绝、停用和非学生账号的申请均不得生成预约。
Заявки ожидающих, отклонённых, неактивных и не-студентов не создают запись.</x:v>
      </x:c>
      <x:c r="G8" s="14" t="str">
        <x:v>NOT_RUN</x:v>
      </x:c>
      <x:c r="H8" s="14" t="str">
        <x:v>TC-003, TC-035, TC-038</x:v>
      </x:c>
    </x:row>
    <x:row r="9" ht="57" customHeight="1">
      <x:c r="A9" s="17" t="str">
        <x:v>P-TC-004</x:v>
      </x:c>
      <x:c r="B9" s="18" t="str">
        <x:v>SP-BR-004</x:v>
      </x:c>
      <x:c r="C9" s="18" t="str">
        <x:v>提供可复核管理记录
Предоставить проверяемые административные записи</x:v>
      </x:c>
      <x:c r="D9" s="18" t="str">
        <x:v>对应业务实现及需求评审完成后，在隔离环境准备合成数据、角色与可控时钟；外部前提先闭合。
После реализации и рассмотрения подготовить в изолированной среде тестовые данные, роли и управляемые часы; сначала решить внешние условия.</x:v>
      </x:c>
      <x:c r="E9" s="18" t="str">
        <x:v>1.按条目设置条件。2.执行正常、拒绝及边界操作。3.核对以下预期并保存实际证据。
1. Настроить условия записи. 2. Выполнить норму, отказ и границу. 3. Сверить ожидание и сохранить фактическое свидетельство.</x:v>
      </x:c>
      <x:c r="F9" s="18" t="str">
        <x:v>合成数据预期计数与管理查询一致；已到期清理的数据显示不可统计。
Показатели и поиск совпадают с тестовыми данными; очищенные данные обозначаются недоступными.</x:v>
      </x:c>
      <x:c r="G9" s="18" t="str">
        <x:v>NOT_RUN</x:v>
      </x:c>
      <x:c r="H9" s="18" t="str">
        <x:v>TC-011, TC-014, TC-016</x:v>
      </x:c>
    </x:row>
    <x:row r="10" ht="57" customHeight="1">
      <x:c r="A10" s="13" t="str">
        <x:v>P-TC-005</x:v>
      </x:c>
      <x:c r="B10" s="14" t="str">
        <x:v>SP-BR-005</x:v>
      </x:c>
      <x:c r="C10" s="14" t="str">
        <x:v>形成可追踪课程交付
Подготовить трассируемую учебную передачу</x:v>
      </x:c>
      <x:c r="D10" s="14" t="str">
        <x:v>对应业务实现及需求评审完成后，在隔离环境准备合成数据、角色与可控时钟；外部前提先闭合。
После реализации и рассмотрения подготовить в изолированной среде тестовые данные, роли и управляемые часы; сначала решить внешние условия.</x:v>
      </x:c>
      <x:c r="E10" s="14" t="str">
        <x:v>1.按条目设置条件。2.执行正常、拒绝及边界操作。3.核对以下预期并保存实际证据。
1. Настроить условия записи. 2. Выполнить норму, отказ и границу. 3. Сверить ожидание и сохранить фактическое свидетельство.</x:v>
      </x:c>
      <x:c r="F10" s="14" t="str">
        <x:v>对全部登记项检查必填字段与引用，覆盖率100%，无悬空ID。
Проверить обязательные поля и ссылки всех записей: покрытие 100%, отсутствующие ID не допускаются.</x:v>
      </x:c>
      <x:c r="G10" s="14" t="str">
        <x:v>NOT_RUN</x:v>
      </x:c>
      <x:c r="H10" s="14" t="str">
        <x:v>TC-029</x:v>
      </x:c>
    </x:row>
    <x:row r="11" ht="57" customHeight="1">
      <x:c r="A11" s="17" t="str">
        <x:v>P-TC-006</x:v>
      </x:c>
      <x:c r="B11" s="18" t="str">
        <x:v>SP-FR-001</x:v>
      </x:c>
      <x:c r="C11" s="18" t="str">
        <x:v>学生注册
Регистрация студента</x:v>
      </x:c>
      <x:c r="D11" s="18" t="str">
        <x:v>对应业务实现及需求评审完成后，在隔离环境准备合成数据、角色与可控时钟；外部前提先闭合。
После реализации и рассмотрения подготовить в изолированной среде тестовые данные, роли и управляемые часы; сначала решить внешние условия.</x:v>
      </x:c>
      <x:c r="E11" s="18" t="str">
        <x:v>1.按条目设置条件。2.执行正常、拒绝及边界操作。3.核对以下预期并保存实际证据。
1. Настроить условия записи. 2. Выполнить норму, отказ и границу. 3. Сверить ожидание и сохранить фактическое свидетельство.</x:v>
      </x:c>
      <x:c r="F11" s="18" t="str">
        <x:v>有效学号创建1个PENDING账号；重复学号被拒绝且不产生第二账号。
Допустимый номер создаёт один PENDING-аккаунт; повторный номер отклоняется без второго аккаунта.</x:v>
      </x:c>
      <x:c r="G11" s="18" t="str">
        <x:v>NOT_RUN</x:v>
      </x:c>
      <x:c r="H11" s="18" t="str">
        <x:v>TC-001, TC-035</x:v>
      </x:c>
    </x:row>
    <x:row r="12" ht="57" customHeight="1">
      <x:c r="A12" s="13" t="str">
        <x:v>P-TC-007</x:v>
      </x:c>
      <x:c r="B12" s="14" t="str">
        <x:v>SP-FR-002</x:v>
      </x:c>
      <x:c r="C12" s="14" t="str">
        <x:v>登录
Вход</x:v>
      </x:c>
      <x:c r="D12" s="14" t="str">
        <x:v>对应业务实现及需求评审完成后，在隔离环境准备合成数据、角色与可控时钟；外部前提先闭合。
После реализации и рассмотрения подготовить в изолированной среде тестовые данные, роли и управляемые часы; сначала решить внешние условия.</x:v>
      </x:c>
      <x:c r="E12" s="14" t="str">
        <x:v>1.按条目设置条件。2.执行正常、拒绝及边界操作。3.核对以下预期并保存实际证据。
1. Настроить условия записи. 2. Выполнить норму, отказ и границу. 3. Сверить ожидание и сохранить фактическое свидетельство.</x:v>
      </x:c>
      <x:c r="F12" s="14" t="str">
        <x:v>有效凭据成功，无效凭据拒绝；PENDING登录后预约请求仍拒绝。
Действительные данные принимаются, недействительные отклоняются; бронирование PENDING после входа запрещено.</x:v>
      </x:c>
      <x:c r="G12" s="14" t="str">
        <x:v>NOT_RUN</x:v>
      </x:c>
      <x:c r="H12" s="14" t="str">
        <x:v>TC-002, TC-003</x:v>
      </x:c>
    </x:row>
    <x:row r="13" ht="57" customHeight="1">
      <x:c r="A13" s="17" t="str">
        <x:v>P-TC-008</x:v>
      </x:c>
      <x:c r="B13" s="18" t="str">
        <x:v>SP-FR-003</x:v>
      </x:c>
      <x:c r="C13" s="18" t="str">
        <x:v>退出
Выход</x:v>
      </x:c>
      <x:c r="D13" s="18" t="str">
        <x:v>对应业务实现及需求评审完成后，在隔离环境准备合成数据、角色与可控时钟；外部前提先闭合。
После реализации и рассмотрения подготовить в изолированной среде тестовые данные, роли и управляемые часы; сначала решить внешние условия.</x:v>
      </x:c>
      <x:c r="E13" s="18" t="str">
        <x:v>1.按条目设置条件。2.执行正常、拒绝及边界操作。3.核对以下预期并保存实际证据。
1. Настроить условия записи. 2. Выполнить норму, отказ и границу. 3. Сверить ожидание и сохранить фактическое свидетельство.</x:v>
      </x:c>
      <x:c r="F13" s="18" t="str">
        <x:v>退出后用旧会话访问受限操作被拒绝；空闲到期边界按A-003验证。
Прежняя сессия после выхода не допускается к закрытым операциям; граница бездействия проверяется по A-003.</x:v>
      </x:c>
      <x:c r="G13" s="18" t="str">
        <x:v>NOT_RUN</x:v>
      </x:c>
      <x:c r="H13" s="18" t="str">
        <x:v>TC-002</x:v>
      </x:c>
    </x:row>
    <x:row r="14" ht="57" customHeight="1">
      <x:c r="A14" s="13" t="str">
        <x:v>P-TC-009</x:v>
      </x:c>
      <x:c r="B14" s="14" t="str">
        <x:v>SP-FR-004</x:v>
      </x:c>
      <x:c r="C14" s="14" t="str">
        <x:v>服务端角色授权
Серверное разграничение ролей</x:v>
      </x:c>
      <x:c r="D14" s="14" t="str">
        <x:v>对应业务实现及需求评审完成后，在隔离环境准备合成数据、角色与可控时钟；外部前提先闭合。
После реализации и рассмотрения подготовить в изолированной среде тестовые данные, роли и управляемые часы; сначала решить внешние условия.</x:v>
      </x:c>
      <x:c r="E14" s="14" t="str">
        <x:v>1.按条目设置条件。2.执行正常、拒绝及边界操作。3.核对以下预期并保存实际证据。
1. Настроить условия записи. 2. Выполнить норму, отказ и границу. 3. Сверить ожидание и сохранить фактическое свидетельство.</x:v>
      </x:c>
      <x:c r="F14" s="14" t="str">
        <x:v>匿名或学生直接调用管理接口均拒绝；注册不能提交ADMIN获得升权。
Анонимный пользователь и студент не вызывают административные операции; регистрация с ADMIN не повышает права.</x:v>
      </x:c>
      <x:c r="G14" s="14" t="str">
        <x:v>NOT_RUN</x:v>
      </x:c>
      <x:c r="H14" s="14" t="str">
        <x:v>TC-003, TC-024, TC-035</x:v>
      </x:c>
    </x:row>
    <x:row r="15" ht="57" customHeight="1">
      <x:c r="A15" s="17" t="str">
        <x:v>P-TC-010</x:v>
      </x:c>
      <x:c r="B15" s="18" t="str">
        <x:v>SP-FR-005</x:v>
      </x:c>
      <x:c r="C15" s="18" t="str">
        <x:v>按位置查询房间
Поиск помещений по расположению</x:v>
      </x:c>
      <x:c r="D15" s="18" t="str">
        <x:v>对应业务实现及需求评审完成后，在隔离环境准备合成数据、角色与可控时钟；外部前提先闭合。
После реализации и рассмотрения подготовить в изолированной среде тестовые данные, роли и управляемые часы; сначала решить внешние условия.</x:v>
      </x:c>
      <x:c r="E15" s="18" t="str">
        <x:v>1.按条目设置条件。2.执行正常、拒绝及边界操作。3.核对以下预期并保存实际证据。
1. Настроить условия записи. 2. Выполнить норму, отказ и границу. 3. Сверить ожидание и сохранить фактическое свидетельство.</x:v>
      </x:c>
      <x:c r="F15" s="18" t="str">
        <x:v>各过滤条件分别与组合返回匹配房间；无匹配结果显示空列表。
Отдельные и совместные фильтры возвращают совпадения; при отсутствии совпадений список пуст.</x:v>
      </x:c>
      <x:c r="G15" s="18" t="str">
        <x:v>NOT_RUN</x:v>
      </x:c>
      <x:c r="H15" s="18" t="str">
        <x:v>TC-004</x:v>
      </x:c>
    </x:row>
    <x:row r="16" ht="57" customHeight="1">
      <x:c r="A16" s="13" t="str">
        <x:v>P-TC-011</x:v>
      </x:c>
      <x:c r="B16" s="14" t="str">
        <x:v>SP-FR-006</x:v>
      </x:c>
      <x:c r="C16" s="14" t="str">
        <x:v>查询开放时间
Просмотр часов работы</x:v>
      </x:c>
      <x:c r="D16" s="14" t="str">
        <x:v>对应业务实现及需求评审完成后，在隔离环境准备合成数据、角色与可控时钟；外部前提先闭合。
После реализации и рассмотрения подготовить в изолированной среде тестовые данные, роли и управляемые часы; сначала решить внешние условия.</x:v>
      </x:c>
      <x:c r="E16" s="14" t="str">
        <x:v>1.按条目设置条件。2.执行正常、拒绝及边界操作。3.核对以下预期并保存实际证据。
1. Настроить условия записи. 2. Выполнить норму, отказ и границу. 3. Сверить ожидание и сохранить фактическое свидетельство.</x:v>
      </x:c>
      <x:c r="F16" s="14" t="str">
        <x:v>无例外时08:00–22:00；关闭日期无可预约窗口；跨设备时区结果一致。
Без исключения 08:00–22:00; закрытая дата не имеет доступного окна; пояс устройства не меняет результат.</x:v>
      </x:c>
      <x:c r="G16" s="14" t="str">
        <x:v>NOT_RUN</x:v>
      </x:c>
      <x:c r="H16" s="14" t="str">
        <x:v>TC-005, TC-012, TC-032, TC-037</x:v>
      </x:c>
    </x:row>
    <x:row r="17" ht="57" customHeight="1">
      <x:c r="A17" s="17" t="str">
        <x:v>P-TC-012</x:v>
      </x:c>
      <x:c r="B17" s="18" t="str">
        <x:v>SP-FR-007</x:v>
      </x:c>
      <x:c r="C17" s="18" t="str">
        <x:v>查询空闲座位
Поиск свободных мест</x:v>
      </x:c>
      <x:c r="D17" s="18" t="str">
        <x:v>对应业务实现及需求评审完成后，在隔离环境准备合成数据、角色与可控时钟；外部前提先闭合。
После реализации и рассмотрения подготовить в изолированной среде тестовые данные, роли и управляемые часы; сначала решить внешние условия.</x:v>
      </x:c>
      <x:c r="E17" s="18" t="str">
        <x:v>1.按条目设置条件。2.执行正常、拒绝及边界操作。3.核对以下预期并保存实际证据。
1. Настроить условия записи. 2. Выполнить норму, отказ и границу. 3. Сверить ожидание и сохранить фактическое свидетельство.</x:v>
      </x:c>
      <x:c r="F17" s="18" t="str">
        <x:v>已占用或停用座位不返回；相邻区间可返回；提交预约时重新校验。
Занятые и неактивные места не возвращаются; соседний интервал допустим; при создании выполняется повторная проверка.</x:v>
      </x:c>
      <x:c r="G17" s="18" t="str">
        <x:v>NOT_RUN</x:v>
      </x:c>
      <x:c r="H17" s="18" t="str">
        <x:v>TC-006, TC-017, TC-031</x:v>
      </x:c>
    </x:row>
    <x:row r="18" ht="57" customHeight="1">
      <x:c r="A18" s="13" t="str">
        <x:v>P-TC-013</x:v>
      </x:c>
      <x:c r="B18" s="14" t="str">
        <x:v>SP-FR-008</x:v>
      </x:c>
      <x:c r="C18" s="14" t="str">
        <x:v>创建单座位预约
Создание бронирования одного места</x:v>
      </x:c>
      <x:c r="D18" s="14" t="str">
        <x:v>对应业务实现及需求评审完成后，在隔离环境准备合成数据、角色与可控时钟；外部前提先闭合。
После реализации и рассмотрения подготовить в изолированной среде тестовые данные, роли и управляемые часы; сначала решить внешние условия.</x:v>
      </x:c>
      <x:c r="E18" s="14" t="str">
        <x:v>1.按条目设置条件。2.执行正常、拒绝及边界操作。3.核对以下预期并保存实际证据。
1. Настроить условия записи. 2. Выполнить норму, отказ и границу. 3. Сверить ожидание и сохранить фактическое свидетельство.</x:v>
      </x:c>
      <x:c r="F18" s="14" t="str">
        <x:v>合法申请生成1条记录；无效申请0条；同一学生可创建多条非重叠预约。
Допустимая заявка создаёт одну запись, недопустимая ни одной; студент может создать несколько непересекающихся записей.</x:v>
      </x:c>
      <x:c r="G18" s="14" t="str">
        <x:v>NOT_RUN</x:v>
      </x:c>
      <x:c r="H18" s="14" t="str">
        <x:v>TC-007, TC-017, TC-030, TC-032, TC-033</x:v>
      </x:c>
    </x:row>
    <x:row r="19" ht="57" customHeight="1">
      <x:c r="A19" s="17" t="str">
        <x:v>P-TC-014</x:v>
      </x:c>
      <x:c r="B19" s="18" t="str">
        <x:v>SP-FR-009</x:v>
      </x:c>
      <x:c r="C19" s="18" t="str">
        <x:v>检测学生和座位冲突
Проверка конфликтов студента и места</x:v>
      </x:c>
      <x:c r="D19" s="18" t="str">
        <x:v>对应业务实现及需求评审完成后，在隔离环境准备合成数据、角色与可控时钟；外部前提先闭合。
После реализации и рассмотрения подготовить в изолированной среде тестовые данные, роли и управляемые часы; сначала решить внешние условия.</x:v>
      </x:c>
      <x:c r="E19" s="18" t="str">
        <x:v>1.按条目设置条件。2.执行正常、拒绝及边界操作。3.核对以下预期并保存实际证据。
1. Настроить условия записи. 2. Выполнить норму, отказ и границу. 3. Сверить ожидание и сохранить фактическое свидетельство.</x:v>
      </x:c>
      <x:c r="F19" s="18" t="str">
        <x:v>覆盖包含、部分重叠、相同区间；不同seat的同学生重叠拒绝，相邻与不同日期非重叠允许。
Проверить вложение, частичное и полное совпадение; пересечение студента на разных местах запрещено, соседние и непересекающиеся дни разрешены.</x:v>
      </x:c>
      <x:c r="G19" s="18" t="str">
        <x:v>NOT_RUN</x:v>
      </x:c>
      <x:c r="H19" s="18" t="str">
        <x:v>TC-008, TC-031, TC-033</x:v>
      </x:c>
    </x:row>
    <x:row r="20" ht="57" customHeight="1">
      <x:c r="A20" s="13" t="str">
        <x:v>P-TC-015</x:v>
      </x:c>
      <x:c r="B20" s="14" t="str">
        <x:v>SP-FR-010</x:v>
      </x:c>
      <x:c r="C20" s="14" t="str">
        <x:v>学生取消本人预约
Отмена своей записи студентом</x:v>
      </x:c>
      <x:c r="D20" s="14" t="str">
        <x:v>对应业务实现及需求评审完成后，在隔离环境准备合成数据、角色与可控时钟；外部前提先闭合。
После реализации и рассмотрения подготовить в изолированной среде тестовые данные, роли и управляемые часы; сначала решить внешние условия.</x:v>
      </x:c>
      <x:c r="E20" s="14" t="str">
        <x:v>1.按条目设置条件。2.执行正常、拒绝及边界操作。3.核对以下预期并保存实际证据。
1. Настроить условия записи. 2. Выполнить норму, отказ и границу. 3. Сверить ожидание и сохранить фактическое свидетельство.</x:v>
      </x:c>
      <x:c r="F20" s="14" t="str">
        <x:v>开始前成功，恰到开始或之后拒绝；他人预约拒绝；只释放本条座位与区间。
До начала успех, в момент начала и позже отказ; чужая запись запрещена; освобождается только эта запись.</x:v>
      </x:c>
      <x:c r="G20" s="14" t="str">
        <x:v>NOT_RUN</x:v>
      </x:c>
      <x:c r="H20" s="14" t="str">
        <x:v>TC-009, TC-034</x:v>
      </x:c>
    </x:row>
    <x:row r="21" ht="57" customHeight="1">
      <x:c r="A21" s="17" t="str">
        <x:v>P-TC-016</x:v>
      </x:c>
      <x:c r="B21" s="18" t="str">
        <x:v>SP-FR-011</x:v>
      </x:c>
      <x:c r="C21" s="18" t="str">
        <x:v>管理员带原因取消
Отмена администратором с причиной</x:v>
      </x:c>
      <x:c r="D21" s="18" t="str">
        <x:v>对应业务实现及需求评审完成后，在隔离环境准备合成数据、角色与可控时钟；外部前提先闭合。
После реализации и рассмотрения подготовить в изолированной среде тестовые данные, роли и управляемые часы; сначала решить внешние условия.</x:v>
      </x:c>
      <x:c r="E21" s="18" t="str">
        <x:v>1.按条目设置条件。2.执行正常、拒绝及边界操作。3.核对以下预期并保存实际证据。
1. Настроить условия записи. 2. Выполнить норму, отказ и границу. 3. Сверить ожидание и сохранить фактическое свидетельство.</x:v>
      </x:c>
      <x:c r="F21" s="18" t="str">
        <x:v>开始后管理员可取消；缺少原因时拒绝；保存执行者、时刻和原因。
После начала администратор может отменить; без причины отказ; сохраняются исполнитель, время и причина.</x:v>
      </x:c>
      <x:c r="G21" s="18" t="str">
        <x:v>NOT_RUN</x:v>
      </x:c>
      <x:c r="H21" s="18" t="str">
        <x:v>TC-009, TC-034</x:v>
      </x:c>
    </x:row>
    <x:row r="22" ht="57" customHeight="1">
      <x:c r="A22" s="13" t="str">
        <x:v>P-TC-017</x:v>
      </x:c>
      <x:c r="B22" s="14" t="str">
        <x:v>SP-FR-012</x:v>
      </x:c>
      <x:c r="C22" s="14" t="str">
        <x:v>幂等取消
Идемпотентная отмена</x:v>
      </x:c>
      <x:c r="D22" s="14" t="str">
        <x:v>对应业务实现及需求评审完成后，在隔离环境准备合成数据、角色与可控时钟；外部前提先闭合。
После реализации и рассмотрения подготовить в изолированной среде тестовые данные, роли и управляемые часы; сначала решить внешние условия.</x:v>
      </x:c>
      <x:c r="E22" s="14" t="str">
        <x:v>1.按条目设置条件。2.执行正常、拒绝及边界操作。3.核对以下预期并保存实际证据。
1. Настроить условия записи. 2. Выполнить норму, отказ и границу. 3. Сверить ожидание и сохранить фактическое свидетельство.</x:v>
      </x:c>
      <x:c r="F22" s="14" t="str">
        <x:v>同一预约取消两次，取消计数与对应审计事件各增加1次。
При двух отменах одной записи счётчик и соответствующее событие увеличиваются один раз.</x:v>
      </x:c>
      <x:c r="G22" s="14" t="str">
        <x:v>NOT_RUN</x:v>
      </x:c>
      <x:c r="H22" s="14" t="str">
        <x:v>TC-009, TC-034</x:v>
      </x:c>
    </x:row>
    <x:row r="23" ht="57" customHeight="1">
      <x:c r="A23" s="17" t="str">
        <x:v>P-TC-018</x:v>
      </x:c>
      <x:c r="B23" s="18" t="str">
        <x:v>SP-FR-013</x:v>
      </x:c>
      <x:c r="C23" s="18" t="str">
        <x:v>查询本人记录
Просмотр собственных записей</x:v>
      </x:c>
      <x:c r="D23" s="18" t="str">
        <x:v>对应业务实现及需求评审完成后，在隔离环境准备合成数据、角色与可控时钟；外部前提先闭合。
После реализации и рассмотрения подготовить в изолированной среде тестовые данные, роли и управляемые часы; сначала решить внешние условия.</x:v>
      </x:c>
      <x:c r="E23" s="18" t="str">
        <x:v>1.按条目设置条件。2.执行正常、拒绝及边界操作。3.核对以下预期并保存实际证据。
1. Настроить условия записи. 2. Выполнить норму, отказ и границу. 3. Сверить ожидание и сохранить фактическое свидетельство.</x:v>
      </x:c>
      <x:c r="F23" s="18" t="str">
        <x:v>两学生交叉查询无他人记录；默认每页20；本次接口候选明确拒绝页大小超过100的请求。
Два студента не видят чужих записей; по умолчанию 20; этот кандидат интерфейса явно отклоняет размер страницы более 100.</x:v>
      </x:c>
      <x:c r="G23" s="18" t="str">
        <x:v>NOT_RUN</x:v>
      </x:c>
      <x:c r="H23" s="18" t="str">
        <x:v>TC-010</x:v>
      </x:c>
    </x:row>
    <x:row r="24" ht="57" customHeight="1">
      <x:c r="A24" s="13" t="str">
        <x:v>P-TC-019</x:v>
      </x:c>
      <x:c r="B24" s="14" t="str">
        <x:v>SP-FR-014</x:v>
      </x:c>
      <x:c r="C24" s="14" t="str">
        <x:v>管理房间
Управление помещениями</x:v>
      </x:c>
      <x:c r="D24" s="14" t="str">
        <x:v>对应业务实现及需求评审完成后，在隔离环境准备合成数据、角色与可控时钟；外部前提先闭合。
После реализации и рассмотрения подготовить в изолированной среде тестовые данные, роли и управляемые часы; сначала решить внешние условия.</x:v>
      </x:c>
      <x:c r="E24" s="14" t="str">
        <x:v>1.按条目设置条件。2.执行正常、拒绝及边界操作。3.核对以下预期并保存实际证据。
1. Настроить условия записи. 2. Выполнить норму, отказ и границу. 3. Сверить ожидание и сохранить фактическое свидетельство.</x:v>
      </x:c>
      <x:c r="F24" s="14" t="str">
        <x:v>学生修改被拒绝；管理员修改可查询；有历史房间使用软停用。
Изменение студентом запрещено; изменение администратора видно; помещение с историей отключается без удаления.</x:v>
      </x:c>
      <x:c r="G24" s="14" t="str">
        <x:v>NOT_RUN</x:v>
      </x:c>
      <x:c r="H24" s="14" t="str">
        <x:v>TC-011</x:v>
      </x:c>
    </x:row>
    <x:row r="25" ht="57" customHeight="1">
      <x:c r="A25" s="17" t="str">
        <x:v>P-TC-020</x:v>
      </x:c>
      <x:c r="B25" s="18" t="str">
        <x:v>SP-FR-015</x:v>
      </x:c>
      <x:c r="C25" s="18" t="str">
        <x:v>管理座位
Управление местами</x:v>
      </x:c>
      <x:c r="D25" s="18" t="str">
        <x:v>对应业务实现及需求评审完成后，在隔离环境准备合成数据、角色与可控时钟；外部前提先闭合。
После реализации и рассмотрения подготовить в изолированной среде тестовые данные, роли и управляемые часы; сначала решить внешние условия.</x:v>
      </x:c>
      <x:c r="E25" s="18" t="str">
        <x:v>1.按条目设置条件。2.执行正常、拒绝及边界操作。3.核对以下预期并保存实际证据。
1. Настроить условия записи. 2. Выполнить норму, отказ и границу. 3. Сверить ожидание и сохранить фактическое свидетельство.</x:v>
      </x:c>
      <x:c r="F25" s="18" t="str">
        <x:v>同房间重复编码拒绝，不同房间相同编码允许；容量等于启用座位数量。
Повторный код внутри помещения запрещён, между помещениями допустим; ёмкость равна числу активных мест.</x:v>
      </x:c>
      <x:c r="G25" s="18" t="str">
        <x:v>NOT_RUN</x:v>
      </x:c>
      <x:c r="H25" s="18" t="str">
        <x:v>TC-011, TC-017</x:v>
      </x:c>
    </x:row>
    <x:row r="26" ht="57" customHeight="1">
      <x:c r="A26" s="13" t="str">
        <x:v>P-TC-021</x:v>
      </x:c>
      <x:c r="B26" s="14" t="str">
        <x:v>SP-FR-016</x:v>
      </x:c>
      <x:c r="C26" s="14" t="str">
        <x:v>设置开放例外
Настройка исключений часов</x:v>
      </x:c>
      <x:c r="D26" s="14" t="str">
        <x:v>对应业务实现及需求评审完成后，在隔离环境准备合成数据、角色与可控时钟；外部前提先闭合。
После реализации и рассмотрения подготовить в изолированной среде тестовые данные, роли и управляемые часы; сначала решить внешние условия.</x:v>
      </x:c>
      <x:c r="E26" s="14" t="str">
        <x:v>1.按条目设置条件。2.执行正常、拒绝及边界操作。3.核对以下预期并保存实际证据。
1. Настроить условия записи. 2. Выполнить норму, отказ и границу. 3. Сверить ожидание и сохранить фактическое свидетельство.</x:v>
      </x:c>
      <x:c r="F26" s="14" t="str">
        <x:v>日期例外覆盖常规时间；不合法窗口拒绝；修改后查询反映新窗口。
Исключение даты заменяет обычное расписание; недопустимое окно отклоняется; поиск отражает новый интервал.</x:v>
      </x:c>
      <x:c r="G26" s="14" t="str">
        <x:v>NOT_RUN</x:v>
      </x:c>
      <x:c r="H26" s="14" t="str">
        <x:v>TC-012, TC-032</x:v>
      </x:c>
    </x:row>
    <x:row r="27" ht="57" customHeight="1">
      <x:c r="A27" s="17" t="str">
        <x:v>P-TC-022</x:v>
      </x:c>
      <x:c r="B27" s="18" t="str">
        <x:v>SP-FR-017</x:v>
      </x:c>
      <x:c r="C27" s="18" t="str">
        <x:v>停用资源处理
Обработка деактивации ресурса</x:v>
      </x:c>
      <x:c r="D27" s="18" t="str">
        <x:v>对应业务实现及需求评审完成后，在隔离环境准备合成数据、角色与可控时钟；外部前提先闭合。
После реализации и рассмотрения подготовить в изолированной среде тестовые данные, роли и управляемые часы; сначала решить внешние условия.</x:v>
      </x:c>
      <x:c r="E27" s="18" t="str">
        <x:v>1.按条目设置条件。2.执行正常、拒绝及边界操作。3.核对以下预期并保存实际证据。
1. Настроить условия записи. 2. Выполнить норму, отказ и границу. 3. Сверить ожидание и сохранить фактическое свидетельство.</x:v>
      </x:c>
      <x:c r="F27" s="18" t="str">
        <x:v>受影响记录取消，未受影响记录保持；重新启用不恢复旧预约；失败全部回滚。
Затронутые записи отменены, остальные сохранены; включение не восстанавливает старые записи; сбой откатывает всё.</x:v>
      </x:c>
      <x:c r="G27" s="18" t="str">
        <x:v>NOT_RUN</x:v>
      </x:c>
      <x:c r="H27" s="18" t="str">
        <x:v>TC-012, TC-036</x:v>
      </x:c>
    </x:row>
    <x:row r="28" ht="57" customHeight="1">
      <x:c r="A28" s="13" t="str">
        <x:v>P-TC-023</x:v>
      </x:c>
      <x:c r="B28" s="14" t="str">
        <x:v>SP-FR-018</x:v>
      </x:c>
      <x:c r="C28" s="14" t="str">
        <x:v>管理预约规则
Настройка правил бронирования</x:v>
      </x:c>
      <x:c r="D28" s="14" t="str">
        <x:v>对应业务实现及需求评审完成后，在隔离环境准备合成数据、角色与可控时钟；外部前提先闭合。
После реализации и рассмотрения подготовить в изолированной среде тестовые данные, роли и управляемые часы; сначала решить внешние условия.</x:v>
      </x:c>
      <x:c r="E28" s="14" t="str">
        <x:v>1.按条目设置条件。2.执行正常、拒绝及边界操作。3.核对以下预期并保存实际证据。
1. Настроить условия записи. 2. Выполнить норму, отказ и границу. 3. Сверить ожидание и сохранить фактическое свидетельство.</x:v>
      </x:c>
      <x:c r="F28" s="14" t="str">
        <x:v>尝试放宽单座位、校内核验、同学生互斥或24h限制被拒绝；合法变更记录审计。
Ослабление одного места, проверки вуза, пересечения студента или 24 ч запрещено; допустимое изменение аудируется.</x:v>
      </x:c>
      <x:c r="G28" s="14" t="str">
        <x:v>NOT_RUN</x:v>
      </x:c>
      <x:c r="H28" s="14" t="str">
        <x:v>TC-013</x:v>
      </x:c>
    </x:row>
    <x:row r="29" ht="57" customHeight="1">
      <x:c r="A29" s="17" t="str">
        <x:v>P-TC-024</x:v>
      </x:c>
      <x:c r="B29" s="18" t="str">
        <x:v>SP-FR-019</x:v>
      </x:c>
      <x:c r="C29" s="18" t="str">
        <x:v>管理员查询记录
Административный поиск записей</x:v>
      </x:c>
      <x:c r="D29" s="18" t="str">
        <x:v>对应业务实现及需求评审完成后，在隔离环境准备合成数据、角色与可控时钟；外部前提先闭合。
После реализации и рассмотрения подготовить в изолированной среде тестовые данные, роли и управляемые часы; сначала решить внешние условия.</x:v>
      </x:c>
      <x:c r="E29" s="18" t="str">
        <x:v>1.按条目设置条件。2.执行正常、拒绝及边界操作。3.核对以下预期并保存实际证据。
1. Настроить условия записи. 2. Выполнить норму, отказ и границу. 3. Сверить ожидание и сохранить фактическое свидетельство.</x:v>
      </x:c>
      <x:c r="F29" s="18" t="str">
        <x:v>各条件匹配结果；学生无此权限；MVP无批量导出；去标识化记录不显示原姓名学号。
Фильтры совпадают с данными; студент не имеет доступа; массового экспорта в MVP нет; обезличенные записи не раскрывают прежние имя и номер.</x:v>
      </x:c>
      <x:c r="G29" s="18" t="str">
        <x:v>NOT_RUN</x:v>
      </x:c>
      <x:c r="H29" s="18" t="str">
        <x:v>TC-014</x:v>
      </x:c>
    </x:row>
    <x:row r="30" ht="57" customHeight="1">
      <x:c r="A30" s="13" t="str">
        <x:v>P-TC-025</x:v>
      </x:c>
      <x:c r="B30" s="14" t="str">
        <x:v>SP-FR-020</x:v>
      </x:c>
      <x:c r="C30" s="14" t="str">
        <x:v>停用账号
Деактивация аккаунта</x:v>
      </x:c>
      <x:c r="D30" s="14" t="str">
        <x:v>对应业务实现及需求评审完成后，在隔离环境准备合成数据、角色与可控时钟；外部前提先闭合。
После реализации и рассмотрения подготовить в изолированной среде тестовые данные, роли и управляемые часы; сначала решить внешние условия.</x:v>
      </x:c>
      <x:c r="E30" s="14" t="str">
        <x:v>1.按条目设置条件。2.执行正常、拒绝及边界操作。3.核对以下预期并保存实际证据。
1. Настроить условия записи. 2. Выполнить норму, отказ и границу. 3. Сверить ожидание и сохранить фактическое свидетельство.</x:v>
      </x:c>
      <x:c r="F30" s="14" t="str">
        <x:v>停用后不能预约，未来有效预约取消；并发创建与停用不能留下停用账号有效预约。
После отключения бронирование запрещено, будущие записи отменены; гонка создания и отключения не оставляет действующей записи неактивного аккаунта.</x:v>
      </x:c>
      <x:c r="G30" s="14" t="str">
        <x:v>NOT_RUN</x:v>
      </x:c>
      <x:c r="H30" s="14" t="str">
        <x:v>TC-015, TC-035</x:v>
      </x:c>
    </x:row>
    <x:row r="31" ht="57" customHeight="1">
      <x:c r="A31" s="17" t="str">
        <x:v>P-TC-026</x:v>
      </x:c>
      <x:c r="B31" s="18" t="str">
        <x:v>SP-FR-021</x:v>
      </x:c>
      <x:c r="C31" s="18" t="str">
        <x:v>身份变更重新核验
Повторная проверка идентификаторов</x:v>
      </x:c>
      <x:c r="D31" s="18" t="str">
        <x:v>对应业务实现及需求评审完成后，在隔离环境准备合成数据、角色与可控时钟；外部前提先闭合。
После реализации и рассмотрения подготовить в изолированной среде тестовые данные, роли и управляемые часы; сначала решить внешние условия.</x:v>
      </x:c>
      <x:c r="E31" s="18" t="str">
        <x:v>1.按条目设置条件。2.执行正常、拒绝及边界操作。3.核对以下预期并保存实际证据。
1. Настроить условия записи. 2. Выполнить норму, отказ и границу. 3. Сверить ожидание и сохранить фактическое свидетельство.</x:v>
      </x:c>
      <x:c r="F31" s="18" t="str">
        <x:v>修改学号或身份字段后不能直接预约；原VERIFIED不得沿用。
После изменения идентификатора бронирование недоступно; прежний VERIFIED не сохраняется.</x:v>
      </x:c>
      <x:c r="G31" s="18" t="str">
        <x:v>NOT_RUN</x:v>
      </x:c>
      <x:c r="H31" s="18" t="str">
        <x:v>TC-015, TC-035</x:v>
      </x:c>
    </x:row>
    <x:row r="32" ht="57" customHeight="1">
      <x:c r="A32" s="13" t="str">
        <x:v>P-TC-027</x:v>
      </x:c>
      <x:c r="B32" s="14" t="str">
        <x:v>SP-FR-022</x:v>
      </x:c>
      <x:c r="C32" s="14" t="str">
        <x:v>人工校内审核
Ручная проверка вуза</x:v>
      </x:c>
      <x:c r="D32" s="14" t="str">
        <x:v>对应业务实现及需求评审完成后，在隔离环境准备合成数据、角色与可控时钟；外部前提先闭合。
После реализации и рассмотрения подготовить в изолированной среде тестовые данные, роли и управляемые часы; сначала решить внешние условия.</x:v>
      </x:c>
      <x:c r="E32" s="14" t="str">
        <x:v>1.按条目设置条件。2.执行正常、拒绝及边界操作。3.核对以下预期并保存实际证据。
1. Настроить условия записи. 2. Выполнить норму, отказ и границу. 3. Сверить ожидание и сохранить фактическое свидетельство.</x:v>
      </x:c>
      <x:c r="F32" s="14" t="str">
        <x:v>无真实可信来源时不得通过；记录审核人、时间和决定；拒绝后可申请复核。
Без фактического доверенного источника успех запрещён; записаны проверяющий, время и решение; после отказа возможна повторная заявка.</x:v>
      </x:c>
      <x:c r="G32" s="14" t="str">
        <x:v>NOT_RUN</x:v>
      </x:c>
      <x:c r="H32" s="14" t="str">
        <x:v>TC-035, TC-038</x:v>
      </x:c>
    </x:row>
    <x:row r="33" ht="57" customHeight="1">
      <x:c r="A33" s="17" t="str">
        <x:v>P-TC-028</x:v>
      </x:c>
      <x:c r="B33" s="18" t="str">
        <x:v>SP-FR-023</x:v>
      </x:c>
      <x:c r="C33" s="18" t="str">
        <x:v>创建数统计
Число созданных записей</x:v>
      </x:c>
      <x:c r="D33" s="18" t="str">
        <x:v>对应业务实现及需求评审完成后，在隔离环境准备合成数据、角色与可控时钟；外部前提先闭合。
После реализации и рассмотрения подготовить в изолированной среде тестовые данные, роли и управляемые часы; сначала решить внешние условия.</x:v>
      </x:c>
      <x:c r="E33" s="18" t="str">
        <x:v>1.按条目设置条件。2.执行正常、拒绝及边界操作。3.核对以下预期并保存实际证据。
1. Настроить условия записи. 2. Выполнить норму, отказ и границу. 3. Сверить ожидание и сохранить фактическое свидетельство.</x:v>
      </x:c>
      <x:c r="F33" s="18" t="str">
        <x:v>固定合成数据手工计数与结果一致，未来业务日期按D分别统计。
Результат совпадает с ручным подсчётом тестовых данных; будущие даты учитываются отдельно по D.</x:v>
      </x:c>
      <x:c r="G33" s="18" t="str">
        <x:v>NOT_RUN</x:v>
      </x:c>
      <x:c r="H33" s="18" t="str">
        <x:v>TC-016</x:v>
      </x:c>
    </x:row>
    <x:row r="34" ht="57" customHeight="1">
      <x:c r="A34" s="13" t="str">
        <x:v>P-TC-029</x:v>
      </x:c>
      <x:c r="B34" s="14" t="str">
        <x:v>SP-FR-024</x:v>
      </x:c>
      <x:c r="C34" s="14" t="str">
        <x:v>取消数统计
Число отменённых записей</x:v>
      </x:c>
      <x:c r="D34" s="14" t="str">
        <x:v>对应业务实现及需求评审完成后，在隔离环境准备合成数据、角色与可控时钟；外部前提先闭合。
После реализации и рассмотрения подготовить в изолированной среде тестовые данные, роли и управляемые часы; сначала решить внешние условия.</x:v>
      </x:c>
      <x:c r="E34" s="14" t="str">
        <x:v>1.按条目设置条件。2.执行正常、拒绝及边界操作。3.核对以下预期并保存实际证据。
1. Настроить условия записи. 2. Выполнить норму, отказ и границу. 3. Сверить ожидание и сохранить фактическое свидетельство.</x:v>
      </x:c>
      <x:c r="F34" s="14" t="str">
        <x:v>重复取消不重复计数；as_of之后发生的取消不计入该快照。
Повторная отмена не удваивает счётчик; отмена после as_of не входит в снимок.</x:v>
      </x:c>
      <x:c r="G34" s="14" t="str">
        <x:v>NOT_RUN</x:v>
      </x:c>
      <x:c r="H34" s="14" t="str">
        <x:v>TC-016</x:v>
      </x:c>
    </x:row>
    <x:row r="35" ht="57" customHeight="1">
      <x:c r="A35" s="17" t="str">
        <x:v>P-TC-030</x:v>
      </x:c>
      <x:c r="B35" s="18" t="str">
        <x:v>SP-FR-025</x:v>
      </x:c>
      <x:c r="C35" s="18" t="str">
        <x:v>未结束数统计
Число незавершённых записей</x:v>
      </x:c>
      <x:c r="D35" s="18" t="str">
        <x:v>对应业务实现及需求评审完成后，在隔离环境准备合成数据、角色与可控时钟；外部前提先闭合。
После реализации и рассмотрения подготовить в изолированной среде тестовые данные, роли и управляемые часы; сначала решить внешние условия.</x:v>
      </x:c>
      <x:c r="E35" s="18" t="str">
        <x:v>1.按条目设置条件。2.执行正常、拒绝及边界操作。3.核对以下预期并保存实际证据。
1. Настроить условия записи. 2. Выполнить норму, отказ и границу. 3. Сверить ожидание и сохранить фактическое свидетельство.</x:v>
      </x:c>
      <x:c r="F35" s="18" t="str">
        <x:v>未来有效记录计入，已结束与已取消排除；不据此推断到场或实际使用率。
Будущие действующие включаются, завершённые и отменённые исключаются; посещаемость и фактическая загрузка не выводятся.</x:v>
      </x:c>
      <x:c r="G35" s="18" t="str">
        <x:v>NOT_RUN</x:v>
      </x:c>
      <x:c r="H35" s="18" t="str">
        <x:v>TC-016</x:v>
      </x:c>
    </x:row>
    <x:row r="36" ht="57" customHeight="1">
      <x:c r="A36" s="13" t="str">
        <x:v>P-TC-031</x:v>
      </x:c>
      <x:c r="B36" s="14" t="str">
        <x:v>SP-FR-026</x:v>
      </x:c>
      <x:c r="C36" s="14" t="str">
        <x:v>创建首位管理员
Создание первого администратора</x:v>
      </x:c>
      <x:c r="D36" s="14" t="str">
        <x:v>对应业务实现及需求评审完成后，在隔离环境准备合成数据、角色与可控时钟；外部前提先闭合。
После реализации и рассмотрения подготовить в изолированной среде тестовые данные, роли и управляемые часы; сначала решить внешние условия.</x:v>
      </x:c>
      <x:c r="E36" s="14" t="str">
        <x:v>1.按条目设置条件。2.执行正常、拒绝及边界操作。3.核对以下预期并保存实际证据。
1. Настроить условия записи. 2. Выполнить норму, отказ и границу. 3. Сверить ожидание и сохранить фактическое свидетельство.</x:v>
      </x:c>
      <x:c r="F36" s="14" t="str">
        <x:v>部署包中没有默认管理凭据；普通注册仍为STUDENT；CLI需要显式输入凭据。
Пакет не содержит исходных административных данных; регистрация остаётся STUDENT; CLI требует явного ввода.</x:v>
      </x:c>
      <x:c r="G36" s="14" t="str">
        <x:v>NOT_RUN</x:v>
      </x:c>
      <x:c r="H36" s="14" t="str">
        <x:v>TC-015, TC-035</x:v>
      </x:c>
    </x:row>
    <x:row r="37" ht="57" customHeight="1">
      <x:c r="A37" s="17" t="str">
        <x:v>P-TC-032</x:v>
      </x:c>
      <x:c r="B37" s="18" t="str">
        <x:v>SP-FR-027</x:v>
      </x:c>
      <x:c r="C37" s="18" t="str">
        <x:v>预约提醒
Напоминания</x:v>
      </x:c>
      <x:c r="D37" s="18" t="str">
        <x:v>对应业务实现及需求评审完成后，在隔离环境准备合成数据、角色与可控时钟；外部前提先闭合。
После реализации и рассмотрения подготовить в изолированной среде тестовые данные, роли и управляемые часы; сначала решить внешние условия.</x:v>
      </x:c>
      <x:c r="E37" s="18" t="str">
        <x:v>1.按条目设置条件。2.执行正常、拒绝及边界操作。3.核对以下预期并保存实际证据。
1. Настроить условия записи. 2. Выполнить норму, отказ и границу. 3. Сверить ожидание и сохранить фактическое свидетельство.</x:v>
      </x:c>
      <x:c r="F37" s="18" t="str">
        <x:v>本轮检查只验证登记为FUTURE且不进入MVP；后续验收须先有明确规则与样例。
В этом выпуске проверяется только FUTURE вне MVP; будущая приёмка сначала требует определённых правил и примеров.</x:v>
      </x:c>
      <x:c r="G37" s="18" t="str">
        <x:v>NOT_RUN</x:v>
      </x:c>
      <x:c r="H37" s="18" t="str">
        <x:v>TC-018</x:v>
      </x:c>
    </x:row>
    <x:row r="38" ht="57" customHeight="1">
      <x:c r="A38" s="13" t="str">
        <x:v>P-TC-033</x:v>
      </x:c>
      <x:c r="B38" s="14" t="str">
        <x:v>SP-FR-028</x:v>
      </x:c>
      <x:c r="C38" s="14" t="str">
        <x:v>QR签到
Отметка по QR</x:v>
      </x:c>
      <x:c r="D38" s="14" t="str">
        <x:v>对应业务实现及需求评审完成后，在隔离环境准备合成数据、角色与可控时钟；外部前提先闭合。
После реализации и рассмотрения подготовить в изолированной среде тестовые данные, роли и управляемые часы; сначала решить внешние условия.</x:v>
      </x:c>
      <x:c r="E38" s="14" t="str">
        <x:v>1.按条目设置条件。2.执行正常、拒绝及边界操作。3.核对以下预期并保存实际证据。
1. Настроить условия записи. 2. Выполнить норму, отказ и границу. 3. Сверить ожидание и сохранить фактическое свидетельство.</x:v>
      </x:c>
      <x:c r="F38" s="14" t="str">
        <x:v>本轮检查只验证登记为FUTURE且不进入MVP；后续验收须先有明确规则与样例。
В этом выпуске проверяется только FUTURE вне MVP; будущая приёмка сначала требует определённых правил и примеров.</x:v>
      </x:c>
      <x:c r="G38" s="14" t="str">
        <x:v>NOT_RUN</x:v>
      </x:c>
      <x:c r="H38" s="14" t="str">
        <x:v>TC-019</x:v>
      </x:c>
    </x:row>
    <x:row r="39" ht="57" customHeight="1">
      <x:c r="A39" s="17" t="str">
        <x:v>P-TC-034</x:v>
      </x:c>
      <x:c r="B39" s="18" t="str">
        <x:v>SP-FR-029</x:v>
      </x:c>
      <x:c r="C39" s="18" t="str">
        <x:v>违约记录
Учёт нарушений</x:v>
      </x:c>
      <x:c r="D39" s="18" t="str">
        <x:v>对应业务实现及需求评审完成后，在隔离环境准备合成数据、角色与可控时钟；外部前提先闭合。
После реализации и рассмотрения подготовить в изолированной среде тестовые данные, роли и управляемые часы; сначала решить внешние условия.</x:v>
      </x:c>
      <x:c r="E39" s="18" t="str">
        <x:v>1.按条目设置条件。2.执行正常、拒绝及边界操作。3.核对以下预期并保存实际证据。
1. Настроить условия записи. 2. Выполнить норму, отказ и границу. 3. Сверить ожидание и сохранить фактическое свидетельство.</x:v>
      </x:c>
      <x:c r="F39" s="18" t="str">
        <x:v>本轮检查只验证登记为FUTURE且不进入MVP；后续验收须先有明确规则与样例。
В этом выпуске проверяется только FUTURE вне MVP; будущая приёмка сначала требует определённых правил и примеров.</x:v>
      </x:c>
      <x:c r="G39" s="18" t="str">
        <x:v>NOT_RUN</x:v>
      </x:c>
      <x:c r="H39" s="18" t="str">
        <x:v>TC-020</x:v>
      </x:c>
    </x:row>
    <x:row r="40" ht="57" customHeight="1">
      <x:c r="A40" s="13" t="str">
        <x:v>P-TC-035</x:v>
      </x:c>
      <x:c r="B40" s="14" t="str">
        <x:v>SP-FR-030</x:v>
      </x:c>
      <x:c r="C40" s="14" t="str">
        <x:v>实际使用率
Фактическая загрузка</x:v>
      </x:c>
      <x:c r="D40" s="14" t="str">
        <x:v>对应业务实现及需求评审完成后，在隔离环境准备合成数据、角色与可控时钟；外部前提先闭合。
После реализации и рассмотрения подготовить в изолированной среде тестовые данные, роли и управляемые часы; сначала решить внешние условия.</x:v>
      </x:c>
      <x:c r="E40" s="14" t="str">
        <x:v>1.按条目设置条件。2.执行正常、拒绝及边界操作。3.核对以下预期并保存实际证据。
1. Настроить условия записи. 2. Выполнить норму, отказ и границу. 3. Сверить ожидание и сохранить фактическое свидетельство.</x:v>
      </x:c>
      <x:c r="F40" s="14" t="str">
        <x:v>本轮检查只验证登记为FUTURE且不进入MVP；后续验收须先有明确规则与样例。
В этом выпуске проверяется только FUTURE вне MVP; будущая приёмка сначала требует определённых правил и примеров.</x:v>
      </x:c>
      <x:c r="G40" s="14" t="str">
        <x:v>NOT_RUN</x:v>
      </x:c>
      <x:c r="H40" s="14" t="str">
        <x:v>TC-021</x:v>
      </x:c>
    </x:row>
    <x:row r="41" ht="57" customHeight="1">
      <x:c r="A41" s="17" t="str">
        <x:v>P-TC-036</x:v>
      </x:c>
      <x:c r="B41" s="18" t="str">
        <x:v>SP-FR-031</x:v>
      </x:c>
      <x:c r="C41" s="18" t="str">
        <x:v>管理员维护账号角色
Назначение ролей администратором</x:v>
      </x:c>
      <x:c r="D41" s="18" t="str">
        <x:v>对应业务实现及需求评审完成后，在隔离环境准备合成数据、角色与可控时钟；外部前提先闭合。
После реализации и рассмотрения подготовить в изолированной среде тестовые данные, роли и управляемые часы; сначала решить внешние условия.</x:v>
      </x:c>
      <x:c r="E41" s="18" t="str">
        <x:v>1.按条目设置条件。2.执行正常、拒绝及边界操作。3.核对以下预期并保存实际证据。
1. Настроить условия записи. 2. Выполнить норму, отказ и границу. 3. Сверить ожидание и сохранить фактическое свидетельство.</x:v>
      </x:c>
      <x:c r="F41" s="18" t="str">
        <x:v>学生提交角色变更被拒绝；管理员变更保存审计；将未核验账号设为STUDENT仍不可预约。
Изменение студентом запрещено; изменение администратора аудируется; назначение STUDENT неподтверждённому аккаунту не разрешает бронирование.</x:v>
      </x:c>
      <x:c r="G41" s="18" t="str">
        <x:v>NOT_RUN</x:v>
      </x:c>
      <x:c r="H41" s="18" t="str">
        <x:v>TC-015, TC-035</x:v>
      </x:c>
    </x:row>
    <x:row r="42" ht="57" customHeight="1">
      <x:c r="A42" s="13" t="str">
        <x:v>P-TC-037</x:v>
      </x:c>
      <x:c r="B42" s="14" t="str">
        <x:v>SP-NFR-001</x:v>
      </x:c>
      <x:c r="C42" s="14" t="str">
        <x:v>可重复构建
Воспроизводимая сборка</x:v>
      </x:c>
      <x:c r="D42" s="14" t="str">
        <x:v>对应业务实现及需求评审完成后，在隔离环境准备合成数据、角色与可控时钟；外部前提先闭合。
После реализации и рассмотрения подготовить в изолированной среде тестовые данные, роли и управляемые часы; сначала решить внешние условия.</x:v>
      </x:c>
      <x:c r="E42" s="14" t="str">
        <x:v>1.按条目设置条件。2.执行正常、拒绝及边界操作。3.核对以下预期并保存实际证据。
1. Настроить условия записи. 2. Выполнить норму, отказ и границу. 3. Сверить ожидание и сохранить фактическое свидетельство.</x:v>
      </x:c>
      <x:c r="F42" s="14" t="str">
        <x:v>记录运行时版本、命令与退出码；检查均退出0且不手工改依赖才能通过。
Записать версии среды, команды и коды; проверки завершаются 0 без ручной правки зависимостей.</x:v>
      </x:c>
      <x:c r="G42" s="14" t="str">
        <x:v>NOT_RUN</x:v>
      </x:c>
      <x:c r="H42" s="14" t="str">
        <x:v>TC-022</x:v>
      </x:c>
    </x:row>
    <x:row r="43" ht="57" customHeight="1">
      <x:c r="A43" s="17" t="str">
        <x:v>P-TC-038</x:v>
      </x:c>
      <x:c r="B43" s="18" t="str">
        <x:v>SP-NFR-002</x:v>
      </x:c>
      <x:c r="C43" s="18" t="str">
        <x:v>查询性能
Производительность поиска</x:v>
      </x:c>
      <x:c r="D43" s="18" t="str">
        <x:v>对应业务实现及需求评审完成后，在隔离环境准备合成数据、角色与可控时钟；外部前提先闭合。
После реализации и рассмотрения подготовить в изолированной среде тестовые данные, роли и управляемые часы; сначала решить внешние условия.</x:v>
      </x:c>
      <x:c r="E43" s="18" t="str">
        <x:v>1.按条目设置条件。2.执行正常、拒绝及边界操作。3.核对以下预期并保存实际证据。
1. Настроить условия записи. 2. Выполнить норму, отказ и границу. 3. Сверить ожидание и сохранить фактическое свидетельство.</x:v>
      </x:c>
      <x:c r="F43" s="18" t="str">
        <x:v>按A-001采集耗时和错误，报告P95、样本量、环境及冲突拒绝；目前NOT_RUN。
Измерить по A-001 и сообщить P95, выборку, среду и отказы по конфликту; сейчас NOT_RUN.</x:v>
      </x:c>
      <x:c r="G43" s="18" t="str">
        <x:v>NOT_RUN</x:v>
      </x:c>
      <x:c r="H43" s="18" t="str">
        <x:v>TC-023</x:v>
      </x:c>
    </x:row>
    <x:row r="44" ht="57" customHeight="1">
      <x:c r="A44" s="13" t="str">
        <x:v>P-TC-039</x:v>
      </x:c>
      <x:c r="B44" s="14" t="str">
        <x:v>SP-NFR-003</x:v>
      </x:c>
      <x:c r="C44" s="14" t="str">
        <x:v>秘密与身份日志保护
Защита секретов и идентификаторов в логах</x:v>
      </x:c>
      <x:c r="D44" s="14" t="str">
        <x:v>对应业务实现及需求评审完成后，在隔离环境准备合成数据、角色与可控时钟；外部前提先闭合。
После реализации и рассмотрения подготовить в изолированной среде тестовые данные, роли и управляемые часы; сначала решить внешние условия.</x:v>
      </x:c>
      <x:c r="E44" s="14" t="str">
        <x:v>1.按条目设置条件。2.执行正常、拒绝及边界操作。3.核对以下预期并保存实际证据。
1. Настроить условия записи. 2. Выполнить норму, отказ и границу. 3. Сверить ожидание и сохранить фактическое свидетельство.</x:v>
      </x:c>
      <x:c r="F44" s="14" t="str">
        <x:v>输入带唯一标记的测试密码和身份字段，执行成功与失败场景，搜索日志无该标记。
Ввести тестовые секреты и идентификаторы с уникальными маркерами, выполнить успех и отказ; маркеров в логах нет.</x:v>
      </x:c>
      <x:c r="G44" s="14" t="str">
        <x:v>NOT_RUN</x:v>
      </x:c>
      <x:c r="H44" s="14" t="str">
        <x:v>TC-024, TC-028</x:v>
      </x:c>
    </x:row>
    <x:row r="45" ht="57" customHeight="1">
      <x:c r="A45" s="17" t="str">
        <x:v>P-TC-040</x:v>
      </x:c>
      <x:c r="B45" s="18" t="str">
        <x:v>SP-NFR-004</x:v>
      </x:c>
      <x:c r="C45" s="18" t="str">
        <x:v>事务原子性与并发
Атомарность и конкуренция</x:v>
      </x:c>
      <x:c r="D45" s="18" t="str">
        <x:v>对应业务实现及需求评审完成后，在隔离环境准备合成数据、角色与可控时钟；外部前提先闭合。
После реализации и рассмотрения подготовить в изолированной среде тестовые данные, роли и управляемые часы; сначала решить внешние условия.</x:v>
      </x:c>
      <x:c r="E45" s="18" t="str">
        <x:v>1.按条目设置条件。2.执行正常、拒绝及边界操作。3.核对以下预期并保存实际证据。
1. Настроить условия записи. 2. Выполнить норму, отказ и границу. 3. Сверить ожидание и сохранить фактическое свидетельство.</x:v>
      </x:c>
      <x:c r="F45" s="18" t="str">
        <x:v>100个不同请求并发争用同一空座位同一时段恰1成功；不重叠申请均可成功；异常回滚无半写入。
Из 100 разных конкурентных заявок на одно свободное место и интервал ровно одна успешна; непересекающиеся допускаются; сбой не оставляет частичной записи.</x:v>
      </x:c>
      <x:c r="G45" s="18" t="str">
        <x:v>NOT_RUN</x:v>
      </x:c>
      <x:c r="H45" s="18" t="str">
        <x:v>TC-008, TC-025</x:v>
      </x:c>
    </x:row>
    <x:row r="46" ht="57" customHeight="1">
      <x:c r="A46" s="13" t="str">
        <x:v>P-TC-041</x:v>
      </x:c>
      <x:c r="B46" s="14" t="str">
        <x:v>SP-NFR-005</x:v>
      </x:c>
      <x:c r="C46" s="14" t="str">
        <x:v>迁移保持数据语义
Сохранение смысла данных при миграции</x:v>
      </x:c>
      <x:c r="D46" s="14" t="str">
        <x:v>对应业务实现及需求评审完成后，在隔离环境准备合成数据、角色与可控时钟；外部前提先闭合。
После реализации и рассмотрения подготовить в изолированной среде тестовые данные, роли и управляемые часы; сначала решить внешние условия.</x:v>
      </x:c>
      <x:c r="E46" s="14" t="str">
        <x:v>1.按条目设置条件。2.执行正常、拒绝及边界操作。3.核对以下预期并保存实际证据。
1. Настроить условия записи. 2. Выполнить норму, отказ и границу. 3. Сверить ожидание и сохранить фактическое свидетельство.</x:v>
      </x:c>
      <x:c r="F46" s="14" t="str">
        <x:v>迁移前后逐表计数与主键集合相同；同一边界及冲突用例结果相同；记录回滚结果。
Сверить количества и ключи каждой таблицы, результаты границ и конфликтов; записать результат отката.</x:v>
      </x:c>
      <x:c r="G46" s="14" t="str">
        <x:v>NOT_RUN</x:v>
      </x:c>
      <x:c r="H46" s="14" t="str">
        <x:v>TC-026</x:v>
      </x:c>
    </x:row>
    <x:row r="47" ht="57" customHeight="1">
      <x:c r="A47" s="17" t="str">
        <x:v>P-TC-042</x:v>
      </x:c>
      <x:c r="B47" s="18" t="str">
        <x:v>SP-NFR-006</x:v>
      </x:c>
      <x:c r="C47" s="18" t="str">
        <x:v>多语言布局可用
Удобство многоязычного интерфейса</x:v>
      </x:c>
      <x:c r="D47" s="18" t="str">
        <x:v>对应业务实现及需求评审完成后，在隔离环境准备合成数据、角色与可控时钟；外部前提先闭合。
После реализации и рассмотрения подготовить в изолированной среде тестовые данные, роли и управляемые часы; сначала решить внешние условия.</x:v>
      </x:c>
      <x:c r="E47" s="18" t="str">
        <x:v>1.按条目设置条件。2.执行正常、拒绝及边界操作。3.核对以下预期并保存实际证据。
1. Настроить условия записи. 2. Выполнить норму, отказ и границу. 3. Сверить ожидание и сохранить фактическое свидетельство.</x:v>
      </x:c>
      <x:c r="F47" s="18" t="str">
        <x:v>对预约、取消和审核页面在三语及目标浏览器逐页检查；仅首页检查不能替代。
Проверить бронирование, отмену и проверку вуза в трёх языках и целевых браузерах; проверка стартовой страницы не заменяет бизнес-экраны.</x:v>
      </x:c>
      <x:c r="G47" s="18" t="str">
        <x:v>NOT_RUN</x:v>
      </x:c>
      <x:c r="H47" s="18" t="str">
        <x:v>TC-027</x:v>
      </x:c>
    </x:row>
    <x:row r="48" ht="57" customHeight="1">
      <x:c r="A48" s="13" t="str">
        <x:v>P-TC-043</x:v>
      </x:c>
      <x:c r="B48" s="14" t="str">
        <x:v>SP-NFR-007</x:v>
      </x:c>
      <x:c r="C48" s="14" t="str">
        <x:v>运行诊断
Диагностика работы</x:v>
      </x:c>
      <x:c r="D48" s="14" t="str">
        <x:v>对应业务实现及需求评审完成后，在隔离环境准备合成数据、角色与可控时钟；外部前提先闭合。
После реализации и рассмотрения подготовить в изолированной среде тестовые данные, роли и управляемые часы; сначала решить внешние условия.</x:v>
      </x:c>
      <x:c r="E48" s="14" t="str">
        <x:v>1.按条目设置条件。2.执行正常、拒绝及边界操作。3.核对以下预期并保存实际证据。
1. Настроить условия записи. 2. Выполнить норму, отказ и границу. 3. Сверить ожидание и сохранить фактическое свидетельство.</x:v>
      </x:c>
      <x:c r="F48" s="14" t="str">
        <x:v>在数据库可用与不可用情境核对约定状态；响应与日志无连接密码或token。
При доступной и недоступной БД проверить предусмотренные состояния; ответы и логи не содержат пароли и token.</x:v>
      </x:c>
      <x:c r="G48" s="14" t="str">
        <x:v>NOT_RUN</x:v>
      </x:c>
      <x:c r="H48" s="14" t="str">
        <x:v>TC-028</x:v>
      </x:c>
    </x:row>
    <x:row r="49" ht="57" customHeight="1">
      <x:c r="A49" s="17" t="str">
        <x:v>P-TC-044</x:v>
      </x:c>
      <x:c r="B49" s="18" t="str">
        <x:v>SP-NFR-008</x:v>
      </x:c>
      <x:c r="C49" s="18" t="str">
        <x:v>双语文档一致
Согласованность двуязычных документов</x:v>
      </x:c>
      <x:c r="D49" s="18" t="str">
        <x:v>对应业务实现及需求评审完成后，在隔离环境准备合成数据、角色与可控时钟；外部前提先闭合。
После реализации и рассмотрения подготовить в изолированной среде тестовые данные, роли и управляемые часы; сначала решить внешние условия.</x:v>
      </x:c>
      <x:c r="E49" s="18" t="str">
        <x:v>1.按条目设置条件。2.执行正常、拒绝及边界操作。3.核对以下预期并保存实际证据。
1. Настроить условия записи. 2. Выполнить норму, отказ и границу. 3. Сверить ожидание и сохранить фактическое свидетельство.</x:v>
      </x:c>
      <x:c r="F49" s="18" t="str">
        <x:v>结构校验无差异；逐条审阅两语的主体、条件、数字与结果；成员签名仍待实际评审。
Структурная проверка без расхождений; сверить субъект, условия, числа и результат двух языков; подпись участника требует фактического рассмотрения.</x:v>
      </x:c>
      <x:c r="G49" s="18" t="str">
        <x:v>NOT_RUN</x:v>
      </x:c>
      <x:c r="H49" s="18" t="str">
        <x:v>TC-029</x:v>
      </x:c>
    </x:row>
    <x:row r="50" ht="57" customHeight="1">
      <x:c r="A50" s="13" t="str">
        <x:v>P-TC-045</x:v>
      </x:c>
      <x:c r="B50" s="14" t="str">
        <x:v>SP-NFR-009</x:v>
      </x:c>
      <x:c r="C50" s="14" t="str">
        <x:v>密码非明文存储
Хранение пароля без открытого текста</x:v>
      </x:c>
      <x:c r="D50" s="14" t="str">
        <x:v>对应业务实现及需求评审完成后，在隔离环境准备合成数据、角色与可控时钟；外部前提先闭合。
После реализации и рассмотрения подготовить в изолированной среде тестовые данные, роли и управляемые часы; сначала решить внешние условия.</x:v>
      </x:c>
      <x:c r="E50" s="14" t="str">
        <x:v>1.按条目设置条件。2.执行正常、拒绝及边界操作。3.核对以下预期并保存实际证据。
1. Настроить условия записи. 2. Выполнить норму, отказ и границу. 3. Сверить ожидание и сохранить фактическое свидетельство.</x:v>
      </x:c>
      <x:c r="F50" s="14" t="str">
        <x:v>检查合成账号数据库无输入密码；相同测试密码的不同账号存储值不同，登录仍可正确验证；具体算法先评审。
В тестовой БД нет введённого пароля; одинаковые пароли двух аккаунтов дают разные значения, вход проверяется правильно; алгоритм сначала рассматривается.</x:v>
      </x:c>
      <x:c r="G50" s="14" t="str">
        <x:v>NOT_RUN</x:v>
      </x:c>
      <x:c r="H50" s="14" t="str">
        <x:v>TC-024</x:v>
      </x:c>
    </x:row>
    <x:row r="51" ht="57" customHeight="1">
      <x:c r="A51" s="17" t="str">
        <x:v>P-TC-046</x:v>
      </x:c>
      <x:c r="B51" s="18" t="str">
        <x:v>SP-NFR-010</x:v>
      </x:c>
      <x:c r="C51" s="18" t="str">
        <x:v>服务器输入校验
Проверка входных данных сервером</x:v>
      </x:c>
      <x:c r="D51" s="18" t="str">
        <x:v>对应业务实现及需求评审完成后，在隔离环境准备合成数据、角色与可控时钟；外部前提先闭合。
После реализации и рассмотрения подготовить в изолированной среде тестовые данные, роли и управляемые часы; сначала решить внешние условия.</x:v>
      </x:c>
      <x:c r="E51" s="18" t="str">
        <x:v>1.按条目设置条件。2.执行正常、拒绝及边界操作。3.核对以下预期并保存实际证据。
1. Настроить условия записи. 2. Выполнить норму, отказ и границу. 3. Сверить ожидание и сохранить фактическое свидетельство.</x:v>
      </x:c>
      <x:c r="F51" s="18" t="str">
        <x:v>直接发送缺字段、错误类型、非法时间和超长分页请求均得到明确错误且数据库无新增；错误结构按A-006。
Прямые запросы с пропусками, неверным типом, временем или размером страницы дают явную ошибку без новых записей; структура по A-006.</x:v>
      </x:c>
      <x:c r="G51" s="18" t="str">
        <x:v>NOT_RUN</x:v>
      </x:c>
      <x:c r="H51" s="18" t="str">
        <x:v>TC-024</x:v>
      </x:c>
    </x:row>
    <x:row r="52" ht="57" customHeight="1">
      <x:c r="A52" s="13" t="str">
        <x:v>P-TC-047</x:v>
      </x:c>
      <x:c r="B52" s="14" t="str">
        <x:v>SP-IF-001</x:v>
      </x:c>
      <x:c r="C52" s="14" t="str">
        <x:v>业务API约定
Контракт бизнес-API</x:v>
      </x:c>
      <x:c r="D52" s="14" t="str">
        <x:v>对应业务实现及需求评审完成后，在隔离环境准备合成数据、角色与可控时钟；外部前提先闭合。
После реализации и рассмотрения подготовить в изолированной среде тестовые данные, роли и управляемые часы; сначала решить внешние условия.</x:v>
      </x:c>
      <x:c r="E52" s="14" t="str">
        <x:v>1.按条目设置条件。2.执行正常、拒绝及边界操作。3.核对以下预期并保存实际证据。
1. Настроить условия записи. 2. Выполнить норму, отказ и границу. 3. Сверить ожидание и сохранить фактическое свидетельство.</x:v>
      </x:c>
      <x:c r="F52" s="14" t="str">
        <x:v>合同测试覆盖成功、未授权、无效时段和冲突；请求/响应样例与OpenAPI一致。
Контрактные тесты охватывают успех, отсутствие доступа, неверное время и конфликт; примеры совпадают с OpenAPI.</x:v>
      </x:c>
      <x:c r="G52" s="14" t="str">
        <x:v>NOT_RUN</x:v>
      </x:c>
      <x:c r="H52" s="14" t="str">
        <x:v>TC-007, TC-009, TC-010</x:v>
      </x:c>
    </x:row>
    <x:row r="53" ht="57" customHeight="1">
      <x:c r="A53" s="17" t="str">
        <x:v>P-TC-048</x:v>
      </x:c>
      <x:c r="B53" s="18" t="str">
        <x:v>SP-IF-002</x:v>
      </x:c>
      <x:c r="C53" s="18" t="str">
        <x:v>可信学校核验来源
Доверенный источник вуза</x:v>
      </x:c>
      <x:c r="D53" s="18" t="str">
        <x:v>对应业务实现及需求评审完成后，在隔离环境准备合成数据、角色与可控时钟；外部前提先闭合。
После реализации и рассмотрения подготовить в изолированной среде тестовые данные, роли и управляемые часы; сначала решить внешние условия.</x:v>
      </x:c>
      <x:c r="E53" s="18" t="str">
        <x:v>1.按条目设置条件。2.执行正常、拒绝及边界操作。3.核对以下预期并保存实际证据。
1. Настроить условия записи. 2. Выполнить норму, отказ и границу. 3. Сверить ожидание и сохранить фактическое свидетельство.</x:v>
      </x:c>
      <x:c r="F53" s="18" t="str">
        <x:v>OPEN-003未闭合时保持PENDING或REJECTED；不编造已接入SSO、邮箱域名或学校名单。
До решения OPEN-003 сохраняется PENDING либо REJECTED; подключение SSO, домен почты или список вуза не выдумываются.</x:v>
      </x:c>
      <x:c r="G53" s="18" t="str">
        <x:v>NOT_RUN</x:v>
      </x:c>
      <x:c r="H53" s="18" t="str">
        <x:v>TC-038</x:v>
      </x:c>
    </x:row>
    <x:row r="54" ht="57" customHeight="1">
      <x:c r="A54" s="13" t="str">
        <x:v>P-TC-049</x:v>
      </x:c>
      <x:c r="B54" s="14" t="str">
        <x:v>SP-DR-001</x:v>
      </x:c>
      <x:c r="C54" s="14" t="str">
        <x:v>最少必要数据
Минимальные необходимые данные</x:v>
      </x:c>
      <x:c r="D54" s="14" t="str">
        <x:v>对应业务实现及需求评审完成后，在隔离环境准备合成数据、角色与可控时钟；外部前提先闭合。
После реализации и рассмотрения подготовить в изолированной среде тестовые данные, роли и управляемые часы; сначала решить внешние условия.</x:v>
      </x:c>
      <x:c r="E54" s="14" t="str">
        <x:v>1.按条目设置条件。2.执行正常、拒绝及边界操作。3.核对以下预期并保存实际证据。
1. Настроить условия записи. 2. Выполнить норму, отказ и границу. 3. Сверить ожидание и сохранить фактическое свидетельство.</x:v>
      </x:c>
      <x:c r="F54" s="14" t="str">
        <x:v>字段清单与数据模型对应；证明影像字段和重复身份日志副本不存在。
Список полей совпадает с моделью; полей изображения и повторных копий идентификаторов в журнале нет.</x:v>
      </x:c>
      <x:c r="G54" s="14" t="str">
        <x:v>NOT_RUN</x:v>
      </x:c>
      <x:c r="H54" s="14" t="str">
        <x:v>TC-001, TC-024, TC-035</x:v>
      </x:c>
    </x:row>
    <x:row r="55" ht="57" customHeight="1">
      <x:c r="A55" s="17" t="str">
        <x:v>P-TC-050</x:v>
      </x:c>
      <x:c r="B55" s="18" t="str">
        <x:v>SP-DR-002</x:v>
      </x:c>
      <x:c r="C55" s="18" t="str">
        <x:v>保留与身份清理
Хранение и очистка идентификаторов</x:v>
      </x:c>
      <x:c r="D55" s="18" t="str">
        <x:v>对应业务实现及需求评审完成后，在隔离环境准备合成数据、角色与可控时钟；外部前提先闭合。
После реализации и рассмотрения подготовить в изолированной среде тестовые данные, роли и управляемые часы; сначала решить внешние условия.</x:v>
      </x:c>
      <x:c r="E55" s="18" t="str">
        <x:v>1.按条目设置条件。2.执行正常、拒绝及边界操作。3.核对以下预期并保存实际证据。
1. Настроить условия записи. 2. Выполнить норму, отказ и границу. 3. Сверить ожидание и сохранить фактическое свидетельство.</x:v>
      </x:c>
      <x:c r="F55" s="18" t="str">
        <x:v>在180天前、恰到期、后验证清理；关联记录未到期时身份映射不得提前清除。
Проверить до, в момент и после 180 дней; до истечения связанных записей идентификаторы не удаляются преждевременно.</x:v>
      </x:c>
      <x:c r="G55" s="18" t="str">
        <x:v>NOT_RUN</x:v>
      </x:c>
      <x:c r="H55" s="18" t="str">
        <x:v>TC-010, TC-028, TC-036</x:v>
      </x:c>
    </x:row>
    <x:row r="56" ht="57" customHeight="1">
      <x:c r="A56" s="13" t="str">
        <x:v>P-TC-051</x:v>
      </x:c>
      <x:c r="B56" s="14" t="str">
        <x:v>SP-DR-003</x:v>
      </x:c>
      <x:c r="C56" s="14" t="str">
        <x:v>备份与恢复清理
Резервные копии и очистка восстановления</x:v>
      </x:c>
      <x:c r="D56" s="14" t="str">
        <x:v>对应业务实现及需求评审完成后，在隔离环境准备合成数据、角色与可控时钟；外部前提先闭合。
После реализации и рассмотрения подготовить в изолированной среде тестовые данные, роли и управляемые часы; сначала решить внешние условия.</x:v>
      </x:c>
      <x:c r="E56" s="14" t="str">
        <x:v>1.按条目设置条件。2.执行正常、拒绝及边界操作。3.核对以下预期并保存实际证据。
1. Настроить условия записи. 2. Выполнить норму, отказ и границу. 3. Сверить ожидание и сохранить фактическое свидетельство.</x:v>
      </x:c>
      <x:c r="F56" s="14" t="str">
        <x:v>第8份生成后只保留最近7份；恢复含过期数据备份，开放前完成清理。
После восьмой копии остаются последние семь; восстановленные истёкшие данные очищены до открытия.</x:v>
      </x:c>
      <x:c r="G56" s="14" t="str">
        <x:v>NOT_RUN</x:v>
      </x:c>
      <x:c r="H56" s="14" t="str">
        <x:v>TC-028</x:v>
      </x:c>
    </x:row>
    <x:row r="57" ht="57" customHeight="1">
      <x:c r="A57" s="17" t="str">
        <x:v>P-TC-052</x:v>
      </x:c>
      <x:c r="B57" s="18" t="str">
        <x:v>SP-C-001</x:v>
      </x:c>
      <x:c r="C57" s="18" t="str">
        <x:v>单座位与时段互斥
Одно место и исключение пересечения</x:v>
      </x:c>
      <x:c r="D57" s="18" t="str">
        <x:v>对应业务实现及需求评审完成后，在隔离环境准备合成数据、角色与可控时钟；外部前提先闭合。
После реализации и рассмотрения подготовить в изолированной среде тестовые данные, роли и управляемые часы; сначала решить внешние условия.</x:v>
      </x:c>
      <x:c r="E57" s="18" t="str">
        <x:v>1.按条目设置条件。2.执行正常、拒绝及边界操作。3.核对以下预期并保存实际证据。
1. Настроить условия записи. 2. Выполнить норму, отказ и границу. 3. Сверить ожидание и сохранить фактическое свидетельство.</x:v>
      </x:c>
      <x:c r="F57" s="18" t="str">
        <x:v>同user不同seat重叠拒绝；非重叠同日、未来不同日均允许，不设全局预约总数上限。
Один user на разных местах с пересечением запрещён; непересекающиеся одного и разных дней разрешены без общего лимита.</x:v>
      </x:c>
      <x:c r="G57" s="18" t="str">
        <x:v>NOT_RUN</x:v>
      </x:c>
      <x:c r="H57" s="18" t="str">
        <x:v>TC-017, TC-031, TC-033</x:v>
      </x:c>
    </x:row>
    <x:row r="58" ht="57" customHeight="1">
      <x:c r="A58" s="13" t="str">
        <x:v>P-TC-053</x:v>
      </x:c>
      <x:c r="B58" s="14" t="str">
        <x:v>SP-C-002</x:v>
      </x:c>
      <x:c r="C58" s="14" t="str">
        <x:v>时间表示与边界
Представление и границы времени</x:v>
      </x:c>
      <x:c r="D58" s="14" t="str">
        <x:v>对应业务实现及需求评审完成后，在隔离环境准备合成数据、角色与可控时钟；外部前提先闭合。
После реализации и рассмотрения подготовить в изолированной среде тестовые данные, роли и управляемые часы; сначала решить внешние условия.</x:v>
      </x:c>
      <x:c r="E58" s="14" t="str">
        <x:v>1.按条目设置条件。2.执行正常、拒绝及边界操作。3.核对以下预期并保存实际证据。
1. Настроить условия записи. 2. Выполнить норму, отказ и границу. 3. Сверить ожидание и сохранить фактическое свидетельство.</x:v>
      </x:c>
      <x:c r="F58" s="14" t="str">
        <x:v>start=now拒绝；相邻区间不冲突；设备时区更改不改变业务日期。
start=now запрещено, соседние интервалы не конфликтуют; пояс устройства не меняет деловую дату.</x:v>
      </x:c>
      <x:c r="G58" s="14" t="str">
        <x:v>NOT_RUN</x:v>
      </x:c>
      <x:c r="H58" s="14" t="str">
        <x:v>TC-030, TC-037</x:v>
      </x:c>
    </x:row>
    <x:row r="59" ht="57" customHeight="1">
      <x:c r="A59" s="17" t="str">
        <x:v>P-TC-054</x:v>
      </x:c>
      <x:c r="B59" s="18" t="str">
        <x:v>SP-C-003</x:v>
      </x:c>
      <x:c r="C59" s="18" t="str">
        <x:v>开放与预约窗口
Часы и горизонт бронирования</x:v>
      </x:c>
      <x:c r="D59" s="18" t="str">
        <x:v>对应业务实现及需求评审完成后，在隔离环境准备合成数据、角色与可控时钟；外部前提先闭合。
После реализации и рассмотрения подготовить в изолированной среде тестовые данные, роли и управляемые часы; сначала решить внешние условия.</x:v>
      </x:c>
      <x:c r="E59" s="18" t="str">
        <x:v>1.按条目设置条件。2.执行正常、拒绝及边界操作。3.核对以下预期并保存实际证据。
1. Настроить условия записи. 2. Выполнить норму, отказ и границу. 3. Сверить ожидание и сохранить фактическое свидетельство.</x:v>
      </x:c>
      <x:c r="F59" s="18" t="str">
        <x:v>第+6日合法，第+7日拒绝；默认最长14h；仅全天开放配置允许24h结束在次日00:00。
День +6 допустим, +7 запрещён; обычно максимум 14 ч; только круглосуточные часы допускают 24 ч до следующей 00:00.</x:v>
      </x:c>
      <x:c r="G59" s="18" t="str">
        <x:v>NOT_RUN</x:v>
      </x:c>
      <x:c r="H59" s="18" t="str">
        <x:v>TC-005, TC-030, TC-032, TC-033, TC-037</x:v>
      </x:c>
    </x:row>
    <x:row r="60" ht="57" customHeight="1">
      <x:c r="A60" s="13" t="str">
        <x:v>P-TC-055</x:v>
      </x:c>
      <x:c r="B60" s="14" t="str">
        <x:v>SP-C-004</x:v>
      </x:c>
      <x:c r="C60" s="14" t="str">
        <x:v>语言范围
Языковой объём</x:v>
      </x:c>
      <x:c r="D60" s="14" t="str">
        <x:v>对应业务实现及需求评审完成后，在隔离环境准备合成数据、角色与可控时钟；外部前提先闭合。
После реализации и рассмотрения подготовить в изолированной среде тестовые данные, роли и управляемые часы; сначала решить внешние условия.</x:v>
      </x:c>
      <x:c r="E60" s="14" t="str">
        <x:v>1.按条目设置条件。2.执行正常、拒绝及边界操作。3.核对以下预期并保存实际证据。
1. Настроить условия записи. 2. Выполнить норму, отказ и границу. 3. Сверить ожидание и сохранить фактическое свидетельство.</x:v>
      </x:c>
      <x:c r="F60" s="14" t="str">
        <x:v>三语同一操作的业务条件、状态和时间一致；正式文档两语编号一致。
Условия, состояния и время одной операции одинаковы в трёх языках; номера двух языков документов совпадают.</x:v>
      </x:c>
      <x:c r="G60" s="14" t="str">
        <x:v>NOT_RUN</x:v>
      </x:c>
      <x:c r="H60" s="14" t="str">
        <x:v>TC-027, TC-029</x:v>
      </x:c>
    </x:row>
    <x:row r="61" ht="57" customHeight="1">
      <x:c r="A61" s="17" t="str">
        <x:v>P-TC-056</x:v>
      </x:c>
      <x:c r="B61" s="18" t="str">
        <x:v>SP-C-005</x:v>
      </x:c>
      <x:c r="C61" s="18" t="str">
        <x:v>工程技术选择
Выбранные технологии</x:v>
      </x:c>
      <x:c r="D61" s="18" t="str">
        <x:v>对应业务实现及需求评审完成后，在隔离环境准备合成数据、角色与可控时钟；外部前提先闭合。
После реализации и рассмотрения подготовить в изолированной среде тестовые данные, роли и управляемые часы; сначала решить внешние условия.</x:v>
      </x:c>
      <x:c r="E61" s="18" t="str">
        <x:v>1.按条目设置条件。2.执行正常、拒绝及边界操作。3.核对以下预期并保存实际证据。
1. Настроить условия записи. 2. Выполнить норму, отказ и границу. 3. Сверить ожидание и сохранить фактическое свидетельство.</x:v>
      </x:c>
      <x:c r="F61" s="18" t="str">
        <x:v>架构与依赖文件符合现有ADR；微服务不是本项目已确认需求。
Архитектура и зависимости соответствуют текущим ADR; микросервисы не являются подтверждённым требованием проекта.</x:v>
      </x:c>
      <x:c r="G61" s="18" t="str">
        <x:v>NOT_RUN</x:v>
      </x:c>
      <x:c r="H61" s="18" t="str">
        <x:v>TC-022, TC-026</x:v>
      </x:c>
    </x:row>
    <x:row r="62" ht="57" customHeight="1">
      <x:c r="A62" s="13" t="str">
        <x:v>P-TC-057</x:v>
      </x:c>
      <x:c r="B62" s="14" t="str">
        <x:v>SP-C-006</x:v>
      </x:c>
      <x:c r="C62" s="14" t="str">
        <x:v>团队与课程验收
Команда и учебная приёмка</x:v>
      </x:c>
      <x:c r="D62" s="14" t="str">
        <x:v>对应业务实现及需求评审完成后，在隔离环境准备合成数据、角色与可控时钟；外部前提先闭合。
После реализации и рассмотрения подготовить в изолированной среде тестовые данные, роли и управляемые часы; сначала решить внешние условия.</x:v>
      </x:c>
      <x:c r="E62" s="14" t="str">
        <x:v>1.按条目设置条件。2.执行正常、拒绝及边界操作。3.核对以下预期并保存实际证据。
1. Настроить условия записи. 2. Выполнить норму, отказ и границу. 3. Сверить ожидание и сохранить фактическое свидетельство.</x:v>
      </x:c>
      <x:c r="F62" s="14" t="str">
        <x:v>名单与主角色对应现有决策，未填写虚构老师姓名、期限或成员签名。
Имена и роли совпадают с решениями; имя преподавателя, срок и подписи не выдуманы.</x:v>
      </x:c>
      <x:c r="G62" s="14" t="str">
        <x:v>NOT_RUN</x:v>
      </x:c>
      <x:c r="H62" s="14" t="str"/>
    </x:row>
    <x:row r="63" ht="57" customHeight="1">
      <x:c r="A63" s="17" t="str">
        <x:v>P-TC-058</x:v>
      </x:c>
      <x:c r="B63" s="18" t="str">
        <x:v>SP-TR-001</x:v>
      </x:c>
      <x:c r="C63" s="18" t="str">
        <x:v>业务数据库迁移准备
Подготовка миграции БД</x:v>
      </x:c>
      <x:c r="D63" s="18" t="str">
        <x:v>对应业务实现及需求评审完成后，在隔离环境准备合成数据、角色与可控时钟；外部前提先闭合。
После реализации и рассмотрения подготовить в изолированной среде тестовые данные, роли и управляемые часы; сначала решить внешние условия.</x:v>
      </x:c>
      <x:c r="E63" s="18" t="str">
        <x:v>1.按条目设置条件。2.执行正常、拒绝及边界操作。3.核对以下预期并保存实际证据。
1. Настроить условия записи. 2. Выполнить норму, отказ и границу. 3. Сверить ожидание и сохранить фактическое свидетельство.</x:v>
      </x:c>
      <x:c r="F63" s="18" t="str">
        <x:v>每步迁移和回滚保存命令、计数、约束与实际结果；目前只有计划。
Для каждого шага записать команды, количества, ограничения и результаты; сейчас это план.</x:v>
      </x:c>
      <x:c r="G63" s="18" t="str">
        <x:v>NOT_RUN</x:v>
      </x:c>
      <x:c r="H63" s="18" t="str">
        <x:v>TC-026</x:v>
      </x:c>
    </x:row>
    <x:row r="64" ht="57" customHeight="1">
      <x:c r="A64" s="13" t="str">
        <x:v>P-TC-059</x:v>
      </x:c>
      <x:c r="B64" s="14" t="str">
        <x:v>SP-TR-002</x:v>
      </x:c>
      <x:c r="C64" s="14" t="str">
        <x:v>管理员培训与学生试点
Обучение администратора и пилот</x:v>
      </x:c>
      <x:c r="D64" s="14" t="str">
        <x:v>对应业务实现及需求评审完成后，在隔离环境准备合成数据、角色与可控时钟；外部前提先闭合。
После реализации и рассмотрения подготовить в изолированной среде тестовые данные, роли и управляемые часы; сначала решить внешние условия.</x:v>
      </x:c>
      <x:c r="E64" s="14" t="str">
        <x:v>1.按条目设置条件。2.执行正常、拒绝及边界操作。3.核对以下预期并保存实际证据。
1. Настроить условия записи. 2. Выполнить норму, отказ и границу. 3. Сверить ожидание и сохранить фактическое свидетельство.</x:v>
      </x:c>
      <x:c r="F64" s="14" t="str">
        <x:v>保存真实参与记录与任务结果；未参与的人员不得签为完成，指标按候选方案评审。
Сохранить фактическое участие и результаты; отсутствующие участники не отмечаются завершившими, показатели рассматриваются как предложение.</x:v>
      </x:c>
      <x:c r="G64" s="14" t="str">
        <x:v>NOT_RUN</x:v>
      </x:c>
      <x:c r="H64" s="14" t="str"/>
    </x:row>
    <x:row r="65" ht="57" customHeight="1">
      <x:c r="A65" s="17" t="str">
        <x:v>P-TC-060</x:v>
      </x:c>
      <x:c r="B65" s="18" t="str">
        <x:v>SP-TR-003</x:v>
      </x:c>
      <x:c r="C65" s="18" t="str">
        <x:v>部署与恢复交接
Передача размещения и восстановления</x:v>
      </x:c>
      <x:c r="D65" s="18" t="str">
        <x:v>对应业务实现及需求评审完成后，在隔离环境准备合成数据、角色与可控时钟；外部前提先闭合。
После реализации и рассмотрения подготовить в изолированной среде тестовые данные, роли и управляемые часы; сначала решить внешние условия.</x:v>
      </x:c>
      <x:c r="E65" s="18" t="str">
        <x:v>1.按条目设置条件。2.执行正常、拒绝及边界操作。3.核对以下预期并保存实际证据。
1. Настроить условия записи. 2. Выполнить норму, отказ и границу. 3. Сверить ожидание и сохранить фактическое свидетельство.</x:v>
      </x:c>
      <x:c r="F65" s="18" t="str">
        <x:v>OPEN-010闭合后记录真实HTTPS和恢复结果；A-004目标未达成不得记为通过。
После решения OPEN-010 сохранить реальные результаты HTTPS и восстановления; цель A-004 без выполнения не считается достигнутой.</x:v>
      </x:c>
      <x:c r="G65" s="18" t="str">
        <x:v>NOT_RUN</x:v>
      </x:c>
      <x:c r="H65" s="18" t="str"/>
    </x:row>
  </x:sheetData>
  <x:pageMargins left="0.7" right="0.7" top="0.75" bottom="0.75" header="0.3" footer="0.3"/>
  <x:tableParts count="1">
    <x:tablePart xmlns:r="http://schemas.openxmlformats.org/officeDocument/2006/relationships" r:id="R672222ac72634927"/>
  </x:tableParts>
</x:worksheet>
</file>

<file path=xl/worksheets/sheet10.xml><?xml version="1.0" encoding="utf-8"?>
<x:worksheet xmlns:x="http://schemas.openxmlformats.org/spreadsheetml/2006/main">
  <x:sheetPr>
    <x:tabColor rgb="FF8AA9C4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38" hidden="0" customWidth="1"/>
    <x:col min="3" max="3" width="100" hidden="0" customWidth="1"/>
    <x:col min="4" max="4" width="105" hidden="0" customWidth="1"/>
    <x:col min="5" max="5" width="55" hidden="0" customWidth="1"/>
  </x:cols>
  <x:sheetData>
    <x:row r="2" ht="28" customHeight="1">
      <x:c r="A2" s="1" t="str">
        <x:v>架构准备与过渡 Архитектура и переход</x:v>
      </x:c>
      <x:c r="B2" s="1"/>
      <x:c r="C2" s="1"/>
      <x:c r="D2" s="1"/>
      <x:c r="E2" s="1"/>
    </x:row>
    <x:row r="3">
      <x:c r="A3" s="2" t="str">
        <x:v>课堂版 v0.2 / Учебная v0.2   2026-10-13   来源 / Источник 0.3.0</x:v>
      </x:c>
      <x:c r="B3" s="2"/>
      <x:c r="C3" s="2"/>
      <x:c r="D3" s="2"/>
      <x:c r="E3" s="2"/>
    </x:row>
    <x:row r="5" ht="40" customHeight="1">
      <x:c r="A5" s="9" t="str">
        <x:v>ID</x:v>
      </x:c>
      <x:c r="B5" s="10" t="str">
        <x:v>模块
Модуль</x:v>
      </x:c>
      <x:c r="C5" s="10" t="str">
        <x:v>设计草稿
Проект</x:v>
      </x:c>
      <x:c r="D5" s="10" t="str">
        <x:v>关联需求
Требования</x:v>
      </x:c>
      <x:c r="E5" s="11" t="str">
        <x:v>来源
Источник</x:v>
      </x:c>
    </x:row>
    <x:row r="6" ht="42" customHeight="1">
      <x:c r="A6" s="13" t="str">
        <x:v>ARCH-01</x:v>
      </x:c>
      <x:c r="B6" s="14" t="str">
        <x:v>浏览器客户端
Браузерный клиент</x:v>
      </x:c>
      <x:c r="C6" s="14" t="str">
        <x:v>中俄英座位列表、时间选择与结果页面；UI不决定最终预约冲突。
Списки мест, время и результат на трёх языках; UI не определяет окончательный конфликт.</x:v>
      </x:c>
      <x:c r="D6" s="14" t="str">
        <x:v>SP-FR-005, SP-FR-008, SP-NFR-006, SP-IF-001, SP-C-004</x:v>
      </x:c>
      <x:c r="E6" s="14" t="str">
        <x:v>DOC-04 §3.2; ADR-0001</x:v>
      </x:c>
    </x:row>
    <x:row r="7" ht="42" customHeight="1">
      <x:c r="A7" s="17" t="str">
        <x:v>ARCH-02</x:v>
      </x:c>
      <x:c r="B7" s="18" t="str">
        <x:v>认证与校内审核
Аутентификация и проверка вуза</x:v>
      </x:c>
      <x:c r="C7" s="18" t="str">
        <x:v>服务器角色授权与PENDING/VERIFIED/REJECTED状态；真实学校来源为外部依赖。
Серверные роли и PENDING/VERIFIED/REJECTED; фактический источник вуза — внешняя зависимость.</x:v>
      </x:c>
      <x:c r="D7" s="18" t="str">
        <x:v>SP-BR-003, SP-FR-001, SP-FR-002, SP-FR-004, SP-FR-022, SP-IF-002, SP-DR-001</x:v>
      </x:c>
      <x:c r="E7" s="18" t="str">
        <x:v>DOC-04 §3.1; DEC-003, DEC-013</x:v>
      </x:c>
    </x:row>
    <x:row r="8" ht="57" customHeight="1">
      <x:c r="A8" s="13" t="str">
        <x:v>ARCH-03</x:v>
      </x:c>
      <x:c r="B8" s="14" t="str">
        <x:v>资源与预约服务
Ресурсы и бронирование</x:v>
      </x:c>
      <x:c r="C8" s="14" t="str">
        <x:v>模块化单体；创建、取消、停用均在事务内校验，时间区间使用半开规则。
Модульный монолит; создание, отмена и отключение проверяются в транзакции, интервалы полуоткрытые.</x:v>
      </x:c>
      <x:c r="D8" s="14" t="str">
        <x:v>SP-BR-002, SP-FR-008, SP-FR-009, SP-FR-010, SP-FR-011, SP-FR-012, SP-NFR-004, SP-IF-001</x:v>
      </x:c>
      <x:c r="E8" s="14" t="str">
        <x:v>DOC-04 §3.3; DEC-016; ADR-0001</x:v>
      </x:c>
    </x:row>
    <x:row r="9" ht="57" customHeight="1">
      <x:c r="A9" s="17" t="str">
        <x:v>ARCH-04</x:v>
      </x:c>
      <x:c r="B9" s="18" t="str">
        <x:v>关系数据库与迁移
Реляционная БД и миграция</x:v>
      </x:c>
      <x:c r="C9" s="18" t="str">
        <x:v>User、Room、Seat、Reservation、审核/操作记录为候选实体；SQLite开发、PostgreSQL候选部署、Alembic计划。
User, Room, Seat, Reservation, аудит — предлагаемые сущности; SQLite разработки, кандидат PostgreSQL и план Alembic.</x:v>
      </x:c>
      <x:c r="D9" s="18" t="str">
        <x:v>SP-NFR-003, SP-NFR-005, SP-NFR-007, SP-DR-002, SP-DR-003, SP-C-005, SP-TR-001</x:v>
      </x:c>
      <x:c r="E9" s="18" t="str">
        <x:v>DOC-04 §3.4–3.5; ADR-0002; DEC-015</x:v>
      </x:c>
    </x:row>
    <x:row r="10" ht="57" customHeight="1">
      <x:c r="A10" s="13" t="str">
        <x:v>ARCH-05</x:v>
      </x:c>
      <x:c r="B10" s="14" t="str">
        <x:v>诊断和交接
Диагностика и передача</x:v>
      </x:c>
      <x:c r="C10" s="14" t="str">
        <x:v>health/ready仅表示协议与依赖状态；Compose/Caddy/HTTPS仍需真实环境和恢复演练。
health/ready показывают состояние протокола и зависимостей; Compose/Caddy/HTTPS требуют среды и упражнения восстановления.</x:v>
      </x:c>
      <x:c r="D10" s="14" t="str">
        <x:v>SP-NFR-007, SP-TR-003, SP-DR-003</x:v>
      </x:c>
      <x:c r="E10" s="14" t="str">
        <x:v>DOC-04 §5–7; ADR-0004; DEC-010</x:v>
      </x:c>
    </x:row>
  </x:sheetData>
  <x:pageMargins left="0.7" right="0.7" top="0.75" bottom="0.75" header="0.3" footer="0.3"/>
  <x:tableParts count="1">
    <x:tablePart xmlns:r="http://schemas.openxmlformats.org/officeDocument/2006/relationships" r:id="Rffd123148a7a47d8"/>
  </x:tableParts>
</x:worksheet>
</file>

<file path=xl/worksheets/sheet11.xml><?xml version="1.0" encoding="utf-8"?>
<x:worksheet xmlns:x="http://schemas.openxmlformats.org/spreadsheetml/2006/main">
  <x:sheetPr>
    <x:tabColor rgb="FF8AA9C4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8" hidden="0" customWidth="1"/>
    <x:col min="2" max="2" width="75" hidden="0" customWidth="1"/>
    <x:col min="3" max="3" width="48" hidden="0" customWidth="1"/>
    <x:col min="4" max="4" width="15" hidden="0" customWidth="1"/>
    <x:col min="5" max="5" width="45" hidden="0" customWidth="1"/>
    <x:col min="6" max="6" width="100" hidden="0" customWidth="1"/>
    <x:col min="7" max="7" width="75" hidden="0" customWidth="1"/>
  </x:cols>
  <x:sheetData>
    <x:row r="2" ht="28" customHeight="1">
      <x:c r="A2" s="1" t="str">
        <x:v>更新后的文档登记 Обновлённый реестр документов</x:v>
      </x:c>
      <x:c r="B2" s="1"/>
      <x:c r="C2" s="1"/>
      <x:c r="D2" s="1"/>
      <x:c r="E2" s="1"/>
      <x:c r="F2" s="1"/>
      <x:c r="G2" s="1"/>
    </x:row>
    <x:row r="3">
      <x:c r="A3" s="2" t="str">
        <x:v>课堂版 v0.2 / Учебная v0.2   2026-10-13   来源 / Источник 0.3.0</x:v>
      </x:c>
      <x:c r="B3" s="2"/>
      <x:c r="C3" s="2"/>
      <x:c r="D3" s="2"/>
      <x:c r="E3" s="2"/>
      <x:c r="F3" s="2"/>
      <x:c r="G3" s="2"/>
    </x:row>
    <x:row r="5" ht="40" customHeight="1">
      <x:c r="A5" s="9" t="str">
        <x:v>记录ID
ID</x:v>
      </x:c>
      <x:c r="B5" s="10" t="str">
        <x:v>文档
Документ</x:v>
      </x:c>
      <x:c r="C5" s="10" t="str">
        <x:v>用途
Назначение</x:v>
      </x:c>
      <x:c r="D5" s="10" t="str">
        <x:v>版本
Версия</x:v>
      </x:c>
      <x:c r="E5" s="10" t="str">
        <x:v>状态
Состояние</x:v>
      </x:c>
      <x:c r="F5" s="10" t="str">
        <x:v>位置
Расположение</x:v>
      </x:c>
      <x:c r="G5" s="11" t="str">
        <x:v>备注
Примечание</x:v>
      </x:c>
    </x:row>
    <x:row r="6" ht="42" customHeight="1">
      <x:c r="A6" s="13" t="str">
        <x:v>DOC-01</x:v>
      </x:c>
      <x:c r="B6" s="14" t="str">
        <x:v>01_Project_Charter.md</x:v>
      </x:c>
      <x:c r="C6" s="14" t="str">
        <x:v>StudySpace 项目章程
Устав проекта StudySpace</x:v>
      </x:c>
      <x:c r="D6" s="14" t="str">
        <x:v>0.3.0</x:v>
      </x:c>
      <x:c r="E6" s="14" t="str">
        <x:v>DRAFT</x:v>
      </x:c>
      <x:c r="F6" s="14" t="str">
        <x:v>docs/zh-CN/01_Project_Charter.md
docs/ru-RU/01_Project_Charter.md</x:v>
      </x:c>
      <x:c r="G6" s="14" t="str">
        <x:v>既有两语文档，原版保留
Существующая пара, версия сохранена</x:v>
      </x:c>
    </x:row>
    <x:row r="7" ht="42" customHeight="1">
      <x:c r="A7" s="17" t="str">
        <x:v>DOC-02</x:v>
      </x:c>
      <x:c r="B7" s="18" t="str">
        <x:v>02_Project_Concept.md</x:v>
      </x:c>
      <x:c r="C7" s="18" t="str">
        <x:v>StudySpace 项目概念
Концепция проекта StudySpace</x:v>
      </x:c>
      <x:c r="D7" s="18" t="str">
        <x:v>0.3.0</x:v>
      </x:c>
      <x:c r="E7" s="18" t="str">
        <x:v>DRAFT</x:v>
      </x:c>
      <x:c r="F7" s="18" t="str">
        <x:v>docs/zh-CN/02_Project_Concept.md
docs/ru-RU/02_Project_Concept.md</x:v>
      </x:c>
      <x:c r="G7" s="18" t="str">
        <x:v>既有两语文档，原版保留
Существующая пара, версия сохранена</x:v>
      </x:c>
    </x:row>
    <x:row r="8" ht="72" customHeight="1">
      <x:c r="A8" s="13" t="str">
        <x:v>DOC-03</x:v>
      </x:c>
      <x:c r="B8" s="14" t="str">
        <x:v>03_SRS_IEEE830.md</x:v>
      </x:c>
      <x:c r="C8" s="14" t="str">
        <x:v>StudySpace 软件需求规格说明书（IEEE 830 草稿模板）
Спецификация требований StudySpace (черновой шаблон IEEE 830)</x:v>
      </x:c>
      <x:c r="D8" s="14" t="str">
        <x:v>0.3.0</x:v>
      </x:c>
      <x:c r="E8" s="14" t="str">
        <x:v>DRAFT</x:v>
      </x:c>
      <x:c r="F8" s="14" t="str">
        <x:v>docs/zh-CN/03_SRS_IEEE830.md
docs/ru-RU/03_SRS_IEEE830.md</x:v>
      </x:c>
      <x:c r="G8" s="14" t="str">
        <x:v>既有两语文档，原版保留
Существующая пара, версия сохранена</x:v>
      </x:c>
    </x:row>
    <x:row r="9" ht="42" customHeight="1">
      <x:c r="A9" s="17" t="str">
        <x:v>DOC-04</x:v>
      </x:c>
      <x:c r="B9" s="18" t="str">
        <x:v>04_System_Design.md</x:v>
      </x:c>
      <x:c r="C9" s="18" t="str">
        <x:v>StudySpace 系统设计草稿
Черновик проектирования системы StudySpace</x:v>
      </x:c>
      <x:c r="D9" s="18" t="str">
        <x:v>0.3.0</x:v>
      </x:c>
      <x:c r="E9" s="18" t="str">
        <x:v>DRAFT</x:v>
      </x:c>
      <x:c r="F9" s="18" t="str">
        <x:v>docs/zh-CN/04_System_Design.md
docs/ru-RU/04_System_Design.md</x:v>
      </x:c>
      <x:c r="G9" s="18" t="str">
        <x:v>既有两语文档，原版保留
Существующая пара, версия сохранена</x:v>
      </x:c>
    </x:row>
    <x:row r="10" ht="42" customHeight="1">
      <x:c r="A10" s="13" t="str">
        <x:v>DOC-05</x:v>
      </x:c>
      <x:c r="B10" s="14" t="str">
        <x:v>05_Test_Plan.md</x:v>
      </x:c>
      <x:c r="C10" s="14" t="str">
        <x:v>StudySpace 测试计划草稿
Черновик плана тестирования StudySpace</x:v>
      </x:c>
      <x:c r="D10" s="14" t="str">
        <x:v>0.3.0</x:v>
      </x:c>
      <x:c r="E10" s="14" t="str">
        <x:v>DRAFT</x:v>
      </x:c>
      <x:c r="F10" s="14" t="str">
        <x:v>docs/zh-CN/05_Test_Plan.md
docs/ru-RU/05_Test_Plan.md</x:v>
      </x:c>
      <x:c r="G10" s="14" t="str">
        <x:v>既有两语文档，原版保留
Существующая пара, версия сохранена</x:v>
      </x:c>
    </x:row>
    <x:row r="11" ht="42" customHeight="1">
      <x:c r="A11" s="17" t="str">
        <x:v>DOC-06</x:v>
      </x:c>
      <x:c r="B11" s="18" t="str">
        <x:v>06_Test_Cases.md</x:v>
      </x:c>
      <x:c r="C11" s="18" t="str">
        <x:v>StudySpace 测试用例草稿
Черновик тестовых сценариев StudySpace</x:v>
      </x:c>
      <x:c r="D11" s="18" t="str">
        <x:v>0.3.0</x:v>
      </x:c>
      <x:c r="E11" s="18" t="str">
        <x:v>DRAFT</x:v>
      </x:c>
      <x:c r="F11" s="18" t="str">
        <x:v>docs/zh-CN/06_Test_Cases.md
docs/ru-RU/06_Test_Cases.md</x:v>
      </x:c>
      <x:c r="G11" s="18" t="str">
        <x:v>既有两语文档，原版保留
Существующая пара, версия сохранена</x:v>
      </x:c>
    </x:row>
    <x:row r="12" ht="42" customHeight="1">
      <x:c r="A12" s="13" t="str">
        <x:v>DOC-07</x:v>
      </x:c>
      <x:c r="B12" s="14" t="str">
        <x:v>07_Traceability_Matrix.md</x:v>
      </x:c>
      <x:c r="C12" s="14" t="str">
        <x:v>StudySpace 需求追溯矩阵草稿
Черновик матрицы прослеживаемости StudySpace</x:v>
      </x:c>
      <x:c r="D12" s="14" t="str">
        <x:v>0.3.0</x:v>
      </x:c>
      <x:c r="E12" s="14" t="str">
        <x:v>DRAFT</x:v>
      </x:c>
      <x:c r="F12" s="14" t="str">
        <x:v>docs/zh-CN/07_Traceability_Matrix.md
docs/ru-RU/07_Traceability_Matrix.md</x:v>
      </x:c>
      <x:c r="G12" s="14" t="str">
        <x:v>既有两语文档，原版保留
Существующая пара, версия сохранена</x:v>
      </x:c>
    </x:row>
    <x:row r="13" ht="42" customHeight="1">
      <x:c r="A13" s="17" t="str">
        <x:v>DOC-08</x:v>
      </x:c>
      <x:c r="B13" s="18" t="str">
        <x:v>08_Risk_Register.md</x:v>
      </x:c>
      <x:c r="C13" s="18" t="str">
        <x:v>StudySpace 风险登记册草稿
Черновик реестра рисков StudySpace</x:v>
      </x:c>
      <x:c r="D13" s="18" t="str">
        <x:v>0.3.0</x:v>
      </x:c>
      <x:c r="E13" s="18" t="str">
        <x:v>DRAFT</x:v>
      </x:c>
      <x:c r="F13" s="18" t="str">
        <x:v>docs/zh-CN/08_Risk_Register.md
docs/ru-RU/08_Risk_Register.md</x:v>
      </x:c>
      <x:c r="G13" s="18" t="str">
        <x:v>既有两语文档，原版保留
Существующая пара, версия сохранена</x:v>
      </x:c>
    </x:row>
    <x:row r="14" ht="57" customHeight="1">
      <x:c r="A14" s="13" t="str">
        <x:v>DOC-09</x:v>
      </x:c>
      <x:c r="B14" s="14" t="str">
        <x:v>09_Change_Log.md</x:v>
      </x:c>
      <x:c r="C14" s="14" t="str">
        <x:v>StudySpace 文档与需求变更记录
Журнал изменений документов и требований StudySpace</x:v>
      </x:c>
      <x:c r="D14" s="14" t="str">
        <x:v>0.3.0</x:v>
      </x:c>
      <x:c r="E14" s="14" t="str">
        <x:v>DRAFT</x:v>
      </x:c>
      <x:c r="F14" s="14" t="str">
        <x:v>docs/zh-CN/09_Change_Log.md
docs/ru-RU/09_Change_Log.md</x:v>
      </x:c>
      <x:c r="G14" s="14" t="str">
        <x:v>既有两语文档，原版保留
Существующая пара, версия сохранена</x:v>
      </x:c>
    </x:row>
    <x:row r="15" ht="42" customHeight="1">
      <x:c r="A15" s="17" t="str">
        <x:v>DOC-10</x:v>
      </x:c>
      <x:c r="B15" s="18" t="str">
        <x:v>10_User_Manual.md</x:v>
      </x:c>
      <x:c r="C15" s="18" t="str">
        <x:v>StudySpace 用户手册草稿
Черновик руководства пользователя StudySpace</x:v>
      </x:c>
      <x:c r="D15" s="18" t="str">
        <x:v>0.3.0</x:v>
      </x:c>
      <x:c r="E15" s="18" t="str">
        <x:v>DRAFT</x:v>
      </x:c>
      <x:c r="F15" s="18" t="str">
        <x:v>docs/zh-CN/10_User_Manual.md
docs/ru-RU/10_User_Manual.md</x:v>
      </x:c>
      <x:c r="G15" s="18" t="str">
        <x:v>既有两语文档，原版保留
Существующая пара, версия сохранена</x:v>
      </x:c>
    </x:row>
    <x:row r="16" ht="57" customHeight="1">
      <x:c r="A16" s="13" t="str">
        <x:v>DOC-11</x:v>
      </x:c>
      <x:c r="B16" s="14" t="str">
        <x:v>11_Development_Plan.md</x:v>
      </x:c>
      <x:c r="C16" s="14" t="str">
        <x:v>StudySpace 四人八周开发计划草稿
Черновик восьминедельного плана четырёх участников StudySpace</x:v>
      </x:c>
      <x:c r="D16" s="14" t="str">
        <x:v>0.3.0</x:v>
      </x:c>
      <x:c r="E16" s="14" t="str">
        <x:v>DRAFT</x:v>
      </x:c>
      <x:c r="F16" s="14" t="str">
        <x:v>docs/zh-CN/11_Development_Plan.md
docs/ru-RU/11_Development_Plan.md</x:v>
      </x:c>
      <x:c r="G16" s="14" t="str">
        <x:v>既有两语文档，原版保留
Существующая пара, версия сохранена</x:v>
      </x:c>
    </x:row>
    <x:row r="17" ht="42" customHeight="1">
      <x:c r="A17" s="17" t="str">
        <x:v>DOC-12</x:v>
      </x:c>
      <x:c r="B17" s="18" t="str">
        <x:v>12_Open_Questions.md</x:v>
      </x:c>
      <x:c r="C17" s="18" t="str">
        <x:v>StudySpace 澄清事项与决定状态
Уточнения и состояния решений StudySpace</x:v>
      </x:c>
      <x:c r="D17" s="18" t="str">
        <x:v>0.3.0</x:v>
      </x:c>
      <x:c r="E17" s="18" t="str">
        <x:v>DRAFT</x:v>
      </x:c>
      <x:c r="F17" s="18" t="str">
        <x:v>docs/zh-CN/12_Open_Questions.md
docs/ru-RU/12_Open_Questions.md</x:v>
      </x:c>
      <x:c r="G17" s="18" t="str">
        <x:v>既有两语文档，原版保留
Существующая пара, версия сохранена</x:v>
      </x:c>
    </x:row>
    <x:row r="18" ht="42" customHeight="1">
      <x:c r="A18" s="13" t="str">
        <x:v>DOC-13</x:v>
      </x:c>
      <x:c r="B18" s="14" t="str">
        <x:v>13_Glossary.md</x:v>
      </x:c>
      <x:c r="C18" s="14" t="str">
        <x:v>StudySpace 中俄软件工程术语表
Китайско-русский глоссарий StudySpace</x:v>
      </x:c>
      <x:c r="D18" s="14" t="str">
        <x:v>0.3.0</x:v>
      </x:c>
      <x:c r="E18" s="14" t="str">
        <x:v>DRAFT</x:v>
      </x:c>
      <x:c r="F18" s="14" t="str">
        <x:v>docs/zh-CN/13_Glossary.md
docs/ru-RU/13_Glossary.md</x:v>
      </x:c>
      <x:c r="G18" s="14" t="str">
        <x:v>既有两语文档，原版保留
Существующая пара, версия сохранена</x:v>
      </x:c>
    </x:row>
    <x:row r="19" ht="42" customHeight="1">
      <x:c r="A19" s="17" t="str">
        <x:v>DOC-14</x:v>
      </x:c>
      <x:c r="B19" s="18" t="str">
        <x:v>14_Requirements_Register.md</x:v>
      </x:c>
      <x:c r="C19" s="18" t="str">
        <x:v>StudySpace 需求登记表草稿
Черновик реестра требований StudySpace</x:v>
      </x:c>
      <x:c r="D19" s="18" t="str">
        <x:v>0.3.0</x:v>
      </x:c>
      <x:c r="E19" s="18" t="str">
        <x:v>DRAFT</x:v>
      </x:c>
      <x:c r="F19" s="18" t="str">
        <x:v>docs/zh-CN/14_Requirements_Register.md
docs/ru-RU/14_Requirements_Register.md</x:v>
      </x:c>
      <x:c r="G19" s="18" t="str">
        <x:v>既有两语文档，原版保留
Существующая пара, версия сохранена</x:v>
      </x:c>
    </x:row>
    <x:row r="20" ht="57" customHeight="1">
      <x:c r="A20" s="13" t="str">
        <x:v>ADR-0001</x:v>
      </x:c>
      <x:c r="B20" s="14" t="str">
        <x:v>0001-simple-monolith.md</x:v>
      </x:c>
      <x:c r="C20" s="14" t="str">
        <x:v>ADR-0001：简单前后端分离单体架构
ADR-0001: простая архитектура клиента и монолитного сервера</x:v>
      </x:c>
      <x:c r="D20" s="14" t="str">
        <x:v>0.3.0</x:v>
      </x:c>
      <x:c r="E20" s="14" t="str">
        <x:v>DRAFT</x:v>
      </x:c>
      <x:c r="F20" s="14" t="str">
        <x:v>docs/decisions/zh-CN/0001-simple-monolith.md
docs/decisions/ru-RU/0001-simple-monolith.md</x:v>
      </x:c>
      <x:c r="G20" s="14" t="str">
        <x:v>既有两语文档，原版保留
Существующая пара, версия сохранена</x:v>
      </x:c>
    </x:row>
    <x:row r="21" ht="57" customHeight="1">
      <x:c r="A21" s="17" t="str">
        <x:v>ADR-0002</x:v>
      </x:c>
      <x:c r="B21" s="18" t="str">
        <x:v>0002-sqlite-postgresql.md</x:v>
      </x:c>
      <x:c r="C21" s="18" t="str">
        <x:v>ADR-0002：SQLite开发与PostgreSQL迁移边界
ADR-0002: SQLite в разработке и границы переноса в PostgreSQL</x:v>
      </x:c>
      <x:c r="D21" s="18" t="str">
        <x:v>0.3.0</x:v>
      </x:c>
      <x:c r="E21" s="18" t="str">
        <x:v>DRAFT</x:v>
      </x:c>
      <x:c r="F21" s="18" t="str">
        <x:v>docs/decisions/zh-CN/0002-sqlite-postgresql.md
docs/decisions/ru-RU/0002-sqlite-postgresql.md</x:v>
      </x:c>
      <x:c r="G21" s="18" t="str">
        <x:v>既有两语文档，原版保留
Существующая пара, версия сохранена</x:v>
      </x:c>
    </x:row>
    <x:row r="22" ht="42" customHeight="1">
      <x:c r="A22" s="13" t="str">
        <x:v>ADR-0003</x:v>
      </x:c>
      <x:c r="B22" s="14" t="str">
        <x:v>0003-room-level-mvp.md</x:v>
      </x:c>
      <x:c r="C22" s="14" t="str">
        <x:v>ADR-0003：单座位级MVP范围
ADR-0003: MVP бронирования отдельного места</x:v>
      </x:c>
      <x:c r="D22" s="14" t="str">
        <x:v>0.3.0</x:v>
      </x:c>
      <x:c r="E22" s="14" t="str">
        <x:v>DRAFT</x:v>
      </x:c>
      <x:c r="F22" s="14" t="str">
        <x:v>docs/decisions/zh-CN/0003-room-level-mvp.md
docs/decisions/ru-RU/0003-room-level-mvp.md</x:v>
      </x:c>
      <x:c r="G22" s="14" t="str">
        <x:v>既有两语文档，原版保留
Существующая пара, версия сохранена</x:v>
      </x:c>
    </x:row>
    <x:row r="23" ht="42" customHeight="1">
      <x:c r="A23" s="17" t="str">
        <x:v>DOC-15</x:v>
      </x:c>
      <x:c r="B23" s="18" t="str">
        <x:v>15_Initialization_Report.md</x:v>
      </x:c>
      <x:c r="C23" s="18" t="str">
        <x:v>StudySpace 项目初始化报告
Отчёт об инициализации проекта StudySpace</x:v>
      </x:c>
      <x:c r="D23" s="18" t="str">
        <x:v>0.3.0</x:v>
      </x:c>
      <x:c r="E23" s="18" t="str">
        <x:v>DRAFT</x:v>
      </x:c>
      <x:c r="F23" s="18" t="str">
        <x:v>docs/zh-CN/15_Initialization_Report.md
docs/ru-RU/15_Initialization_Report.md</x:v>
      </x:c>
      <x:c r="G23" s="18" t="str">
        <x:v>既有两语文档，原版保留
Существующая пара, версия сохранена</x:v>
      </x:c>
    </x:row>
    <x:row r="24" ht="57" customHeight="1">
      <x:c r="A24" s="13" t="str">
        <x:v>DOC-16</x:v>
      </x:c>
      <x:c r="B24" s="14" t="str">
        <x:v>16_Requirements_Clarification.md</x:v>
      </x:c>
      <x:c r="C24" s="14" t="str">
        <x:v>StudySpace 需求澄清与授权决定
Уточнение требований и делегированные решения StudySpace</x:v>
      </x:c>
      <x:c r="D24" s="14" t="str">
        <x:v>0.3.0</x:v>
      </x:c>
      <x:c r="E24" s="14" t="str">
        <x:v>DRAFT</x:v>
      </x:c>
      <x:c r="F24" s="14" t="str">
        <x:v>docs/zh-CN/16_Requirements_Clarification.md
docs/ru-RU/16_Requirements_Clarification.md</x:v>
      </x:c>
      <x:c r="G24" s="14" t="str">
        <x:v>既有两语文档，原版保留
Существующая пара, версия сохранена</x:v>
      </x:c>
    </x:row>
    <x:row r="25" ht="42" customHeight="1">
      <x:c r="A25" s="17" t="str">
        <x:v>ADR-0004</x:v>
      </x:c>
      <x:c r="B25" s="18" t="str">
        <x:v>0004-docker-https.md</x:v>
      </x:c>
      <x:c r="C25" s="18" t="str">
        <x:v>ADR-0004：Docker与HTTPS部署候选
ADR-0004: кандидат размещения Docker и HTTPS</x:v>
      </x:c>
      <x:c r="D25" s="18" t="str">
        <x:v>0.3.0</x:v>
      </x:c>
      <x:c r="E25" s="18" t="str">
        <x:v>DRAFT</x:v>
      </x:c>
      <x:c r="F25" s="18" t="str">
        <x:v>docs/decisions/zh-CN/0004-docker-https.md
docs/decisions/ru-RU/0004-docker-https.md</x:v>
      </x:c>
      <x:c r="G25" s="18" t="str">
        <x:v>既有两语文档，原版保留
Существующая пара, версия сохранена</x:v>
      </x:c>
    </x:row>
    <x:row r="26" ht="42" customHeight="1">
      <x:c r="A26" s="13" t="str">
        <x:v>SRC-02</x:v>
      </x:c>
      <x:c r="B26" s="14" t="str">
        <x:v>docs/data/requirements.json</x:v>
      </x:c>
      <x:c r="C26" s="14" t="str">
        <x:v>38条原始候选需求
38 исходных кандидатов</x:v>
      </x:c>
      <x:c r="D26" s="14" t="str">
        <x:v>0.3.0</x:v>
      </x:c>
      <x:c r="E26" s="14" t="str">
        <x:v>PROPOSED</x:v>
      </x:c>
      <x:c r="F26" s="14" t="str">
        <x:v>docs/data/requirements.json</x:v>
      </x:c>
      <x:c r="G26" s="14" t="str">
        <x:v>原ID全部保留并映射
Все исходные ID сохранены и сопоставлены</x:v>
      </x:c>
    </x:row>
    <x:row r="27" ht="42" customHeight="1">
      <x:c r="A27" s="17" t="str">
        <x:v>SRC-03</x:v>
      </x:c>
      <x:c r="B27" s="18" t="str">
        <x:v>docs/data/project-decisions.json</x:v>
      </x:c>
      <x:c r="C27" s="18" t="str">
        <x:v>17条决定与项目参数
17 решений и параметры</x:v>
      </x:c>
      <x:c r="D27" s="18" t="str">
        <x:v>0.3.0</x:v>
      </x:c>
      <x:c r="E27" s="18" t="str">
        <x:v>CONFIRMED / DELEGATED / PREFERENCE</x:v>
      </x:c>
      <x:c r="F27" s="18" t="str">
        <x:v>docs/data/project-decisions.json</x:v>
      </x:c>
      <x:c r="G27" s="18" t="str">
        <x:v>状态按来源沿用
Состояния сохранены по источнику</x:v>
      </x:c>
    </x:row>
    <x:row r="28" ht="42" customHeight="1">
      <x:c r="A28" s="13" t="str">
        <x:v>SRC-04</x:v>
      </x:c>
      <x:c r="B28" s="14" t="str">
        <x:v>docs/data/test-cases.json</x:v>
      </x:c>
      <x:c r="C28" s="14" t="str">
        <x:v>38条原业务测试计划
38 исходных бизнес-тестов</x:v>
      </x:c>
      <x:c r="D28" s="14" t="str">
        <x:v>0.3.0</x:v>
      </x:c>
      <x:c r="E28" s="14" t="str">
        <x:v>NOT_RUN</x:v>
      </x:c>
      <x:c r="F28" s="14" t="str">
        <x:v>docs/data/test-cases.json</x:v>
      </x:c>
      <x:c r="G28" s="14" t="str">
        <x:v>原测试未改为通过
Исходные тесты не отмечены пройденными</x:v>
      </x:c>
    </x:row>
    <x:row r="29" ht="42" customHeight="1">
      <x:c r="A29" s="17" t="str">
        <x:v>CW-01</x:v>
      </x:c>
      <x:c r="B29" s="18" t="str">
        <x:v>StudySpace_需求工程实践_中俄双语_v0.2.docx</x:v>
      </x:c>
      <x:c r="C29" s="18" t="str">
        <x:v>完整实践报告
Отчёт практической работы</x:v>
      </x:c>
      <x:c r="D29" s="18" t="str">
        <x:v>0.2</x:v>
      </x:c>
      <x:c r="E29" s="18" t="str">
        <x:v>DRAFT</x:v>
      </x:c>
      <x:c r="F29" s="18" t="str">
        <x:v>本目录 / текущий каталог</x:v>
      </x:c>
      <x:c r="G29" s="18" t="str">
        <x:v>本次新建
Создан в этой работе</x:v>
      </x:c>
    </x:row>
    <x:row r="30" ht="42" customHeight="1">
      <x:c r="A30" s="13" t="str">
        <x:v>CW-02</x:v>
      </x:c>
      <x:c r="B30" s="14" t="str">
        <x:v>StudySpace_需求登记与任务表_中俄双语_v0.2.xlsx</x:v>
      </x:c>
      <x:c r="C30" s="14" t="str">
        <x:v>需求与全部任务表
Реестр и таблицы заданий</x:v>
      </x:c>
      <x:c r="D30" s="14" t="str">
        <x:v>0.2</x:v>
      </x:c>
      <x:c r="E30" s="14" t="str">
        <x:v>DRAFT</x:v>
      </x:c>
      <x:c r="F30" s="14" t="str">
        <x:v>本目录 / текущий каталог</x:v>
      </x:c>
      <x:c r="G30" s="14" t="str">
        <x:v>可筛选、优先级可编辑
Фильтрация, редактируемые приоритеты</x:v>
      </x:c>
    </x:row>
    <x:row r="31" ht="42" customHeight="1">
      <x:c r="A31" s="17" t="str">
        <x:v>CW-03</x:v>
      </x:c>
      <x:c r="B31" s="18" t="str">
        <x:v>StudySpace_需求工程实践_中俄双语_v0.2.md</x:v>
      </x:c>
      <x:c r="C31" s="18" t="str">
        <x:v>双语报告与完整表格文本
Двуязычный текст и полные таблицы</x:v>
      </x:c>
      <x:c r="D31" s="18" t="str">
        <x:v>0.2</x:v>
      </x:c>
      <x:c r="E31" s="18" t="str">
        <x:v>DRAFT</x:v>
      </x:c>
      <x:c r="F31" s="18" t="str">
        <x:v>本目录 / текущий каталог</x:v>
      </x:c>
      <x:c r="G31" s="18" t="str">
        <x:v>Word与Excel同源
Общий источник с Word и Excel</x:v>
      </x:c>
    </x:row>
    <x:row r="32" ht="42" customHeight="1">
      <x:c r="A32" s="13" t="str">
        <x:v>CW-04</x:v>
      </x:c>
      <x:c r="B32" s="14" t="str">
        <x:v>data/requirements-practice.json</x:v>
      </x:c>
      <x:c r="C32" s="14" t="str">
        <x:v>课堂登记数据与来源映射
Учебные данные и сопоставление</x:v>
      </x:c>
      <x:c r="D32" s="14" t="str">
        <x:v>0.2</x:v>
      </x:c>
      <x:c r="E32" s="14" t="str">
        <x:v>DRAFT</x:v>
      </x:c>
      <x:c r="F32" s="14" t="str">
        <x:v>data/requirements-practice.json</x:v>
      </x:c>
      <x:c r="G32" s="14" t="str">
        <x:v>课堂快照，不取代工程唯一来源
Учебный снимок, не заменяет источник проекта</x:v>
      </x:c>
    </x:row>
    <x:row r="33" ht="42" customHeight="1">
      <x:c r="A33" s="17" t="str">
        <x:v>CW-05</x:v>
      </x:c>
      <x:c r="B33" s="18" t="str">
        <x:v>data/verification.json</x:v>
      </x:c>
      <x:c r="C33" s="18" t="str">
        <x:v>实际文件检查记录
Фактическая проверка файлов</x:v>
      </x:c>
      <x:c r="D33" s="18" t="str">
        <x:v>0.2</x:v>
      </x:c>
      <x:c r="E33" s="18" t="str">
        <x:v>STRUCTURAL_CHECK</x:v>
      </x:c>
      <x:c r="F33" s="18" t="str">
        <x:v>data/verification.json</x:v>
      </x:c>
      <x:c r="G33" s="18" t="str">
        <x:v>结构与排版证据，非成员批准
Структура и оформление, не одобрение участника</x:v>
      </x:c>
    </x:row>
  </x:sheetData>
  <x:pageMargins left="0.7" right="0.7" top="0.75" bottom="0.75" header="0.3" footer="0.3"/>
  <x:tableParts count="1">
    <x:tablePart xmlns:r="http://schemas.openxmlformats.org/officeDocument/2006/relationships" r:id="Ra45e2b12c2054bbf"/>
  </x:tableParts>
</x:worksheet>
</file>

<file path=xl/worksheets/sheet12.xml><?xml version="1.0" encoding="utf-8"?>
<x:worksheet xmlns:x="http://schemas.openxmlformats.org/spreadsheetml/2006/main">
  <x:sheetPr>
    <x:tabColor rgb="FF8AA9C4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0" hidden="0" customWidth="1"/>
    <x:col min="2" max="2" width="18" hidden="0" customWidth="1"/>
    <x:col min="3" max="3" width="16" hidden="0" customWidth="1"/>
    <x:col min="4" max="4" width="110" hidden="0" customWidth="1"/>
    <x:col min="5" max="5" width="24" hidden="0" customWidth="1"/>
    <x:col min="6" max="6" width="70" hidden="0" customWidth="1"/>
    <x:col min="7" max="7" width="100" hidden="0" customWidth="1"/>
    <x:col min="8" max="8" width="85" hidden="0" customWidth="1"/>
  </x:cols>
  <x:sheetData>
    <x:row r="2" ht="28" customHeight="1">
      <x:c r="A2" s="1" t="str">
        <x:v>38条原文盘点 Инвентаризация 38 исходных записей</x:v>
      </x:c>
      <x:c r="B2" s="1"/>
      <x:c r="C2" s="1"/>
      <x:c r="D2" s="1"/>
      <x:c r="E2" s="1"/>
      <x:c r="F2" s="1"/>
      <x:c r="G2" s="1"/>
      <x:c r="H2" s="1"/>
    </x:row>
    <x:row r="3">
      <x:c r="A3" s="2" t="str">
        <x:v>课堂版 v0.2 / Учебная v0.2   2026-10-13   来源 / Источник 0.3.0</x:v>
      </x:c>
      <x:c r="B3" s="2"/>
      <x:c r="C3" s="2"/>
      <x:c r="D3" s="2"/>
      <x:c r="E3" s="2"/>
      <x:c r="F3" s="2"/>
      <x:c r="G3" s="2"/>
      <x:c r="H3" s="2"/>
    </x:row>
    <x:row r="5" ht="40" customHeight="1">
      <x:c r="A5" s="9" t="str">
        <x:v>编号
№</x:v>
      </x:c>
      <x:c r="B5" s="10" t="str">
        <x:v>原ID
Исходный ID</x:v>
      </x:c>
      <x:c r="C5" s="10" t="str">
        <x:v>原类型
Исходный тип</x:v>
      </x:c>
      <x:c r="D5" s="10" t="str">
        <x:v>原文
Цитата</x:v>
      </x:c>
      <x:c r="E5" s="10" t="str">
        <x:v>课堂分类
Учебные типы</x:v>
      </x:c>
      <x:c r="F5" s="10" t="str">
        <x:v>来源
Источник</x:v>
      </x:c>
      <x:c r="G5" s="10" t="str">
        <x:v>候选ID
Кандидаты</x:v>
      </x:c>
      <x:c r="H5" s="11" t="str">
        <x:v>备注
Примечание</x:v>
      </x:c>
    </x:row>
    <x:row r="6" ht="72" customHeight="1">
      <x:c r="A6" s="13" t="n">
        <x:v>1</x:v>
      </x:c>
      <x:c r="B6" s="14" t="str">
        <x:v>FR-001</x:v>
      </x:c>
      <x:c r="C6" s="14" t="str">
        <x:v>FR</x:v>
      </x:c>
      <x:c r="D6" s="14" t="str">
        <x:v>注册保存必要学号、姓名和凭据，初始PENDING；学号在保留身份映射账号中唯一，未核验账号可登录只读但不可预约。
Регистрация сохраняет необходимые номер студента, имя и данные входа; начальный статус PENDING. Номер уникален среди сохраняющих идентификаторы аккаунтов; неподтверждённый аккаунт может войти для чтения, но не бронировать.</x:v>
      </x:c>
      <x:c r="E6" s="14" t="str">
        <x:v>DR, FR</x:v>
      </x:c>
      <x:c r="F6" s="14" t="str">
        <x:v>docs/data/requirements.json#FR-001</x:v>
      </x:c>
      <x:c r="G6" s="14" t="str">
        <x:v>SP-FR-001, SP-DR-001</x:v>
      </x:c>
      <x:c r="H6" s="14" t="str">
        <x:v>保留原文作为来源，候选条目按独立行为和质量拆分。
Исходный текст сохранён; кандидаты разделены по поведению и качеству.</x:v>
      </x:c>
    </x:row>
    <x:row r="7" ht="57" customHeight="1">
      <x:c r="A7" s="17" t="n">
        <x:v>2</x:v>
      </x:c>
      <x:c r="B7" s="18" t="str">
        <x:v>FR-002</x:v>
      </x:c>
      <x:c r="C7" s="18" t="str">
        <x:v>FR</x:v>
      </x:c>
      <x:c r="D7" s="18" t="str">
        <x:v>拟提供身份验证及退出；会话策略、密码规则与恢复流程待确认。
Предлагаются аутентификация и выход; политика сессий, правила паролей и восстановление доступа требуют подтверждения.</x:v>
      </x:c>
      <x:c r="E7" s="18" t="str">
        <x:v>FR</x:v>
      </x:c>
      <x:c r="F7" s="18" t="str">
        <x:v>docs/data/requirements.json#FR-002</x:v>
      </x:c>
      <x:c r="G7" s="18" t="str">
        <x:v>SP-FR-002, SP-FR-003</x:v>
      </x:c>
      <x:c r="H7" s="18" t="str">
        <x:v>保留原文作为来源，候选条目按独立行为和质量拆分。
Исходный текст сохранён; кандидаты разделены по поведению и качеству.</x:v>
      </x:c>
    </x:row>
    <x:row r="8" ht="57" customHeight="1">
      <x:c r="A8" s="13" t="n">
        <x:v>3</x:v>
      </x:c>
      <x:c r="B8" s="14" t="str">
        <x:v>FR-003</x:v>
      </x:c>
      <x:c r="C8" s="14" t="str">
        <x:v>FR</x:v>
      </x:c>
      <x:c r="D8" s="14" t="str">
        <x:v>启用且校内已核验的STUDENT可预约；ADMIN管理资源、审核和记录，注册不可自授管理员；角色、启停和身份状态独立验证。
Бронирует активный подтверждённый STUDENT; ADMIN управляет ресурсами, проверкой и записями. Регистрация не даёт административную роль; роль, активность и проверка валидируются независимо.</x:v>
      </x:c>
      <x:c r="E8" s="14" t="str">
        <x:v>BR, FR</x:v>
      </x:c>
      <x:c r="F8" s="14" t="str">
        <x:v>docs/data/requirements.json#FR-003</x:v>
      </x:c>
      <x:c r="G8" s="14" t="str">
        <x:v>SP-BR-003, SP-FR-002, SP-FR-004</x:v>
      </x:c>
      <x:c r="H8" s="14" t="str">
        <x:v>保留原文作为来源，候选条目按独立行为和质量拆分。
Исходный текст сохранён; кандидаты разделены по поведению и качеству.</x:v>
      </x:c>
    </x:row>
    <x:row r="9" ht="57" customHeight="1">
      <x:c r="A9" s="17" t="n">
        <x:v>4</x:v>
      </x:c>
      <x:c r="B9" s="18" t="str">
        <x:v>FR-004</x:v>
      </x:c>
      <x:c r="C9" s="18" t="str">
        <x:v>FR</x:v>
      </x:c>
      <x:c r="D9" s="18" t="str">
        <x:v>按校区、楼栋、楼层和CLASSROOM/STUDY_ROOM类型查询房间及其座位；预约单位是单个Seat，房间不可整室预约。
Поиск помещений и мест по кампусу, корпусу, этажу и CLASSROOM/STUDY_ROOM; единица бронирования — Seat, помещение целиком не бронируется.</x:v>
      </x:c>
      <x:c r="E9" s="18" t="str">
        <x:v>FR</x:v>
      </x:c>
      <x:c r="F9" s="18" t="str">
        <x:v>docs/data/requirements.json#FR-004</x:v>
      </x:c>
      <x:c r="G9" s="18" t="str">
        <x:v>SP-FR-005</x:v>
      </x:c>
      <x:c r="H9" s="18" t="str">
        <x:v>保留原文作为来源，候选条目按独立行为和质量拆分。
Исходный текст сохранён; кандидаты разделены по поведению и качеству.</x:v>
      </x:c>
    </x:row>
    <x:row r="10" ht="57" customHeight="1">
      <x:c r="A10" s="13" t="n">
        <x:v>5</x:v>
      </x:c>
      <x:c r="B10" s="14" t="str">
        <x:v>FR-005</x:v>
      </x:c>
      <x:c r="C10" s="14" t="str">
        <x:v>FR</x:v>
      </x:c>
      <x:c r="D10" s="14" t="str">
        <x:v>按Asia/Shanghai业务日期查询座位开放及可预约时段；默认每日08:00–22:00、30分钟粒度，今天至今天+6。
Поиск часов и доступных интервалов места по дате Asia/Shanghai; по умолчанию 08:00–22:00 ежедневно, шаг30 минут, сегодня...сегодня+6.</x:v>
      </x:c>
      <x:c r="E10" s="14" t="str">
        <x:v>C, FR</x:v>
      </x:c>
      <x:c r="F10" s="14" t="str">
        <x:v>docs/data/requirements.json#FR-005</x:v>
      </x:c>
      <x:c r="G10" s="14" t="str">
        <x:v>SP-FR-006, SP-C-003</x:v>
      </x:c>
      <x:c r="H10" s="14" t="str">
        <x:v>保留原文作为来源，候选条目按独立行为和质量拆分。
Исходный текст сохранён; кандидаты разделены по поведению и качеству.</x:v>
      </x:c>
    </x:row>
    <x:row r="11" ht="57" customHeight="1">
      <x:c r="A11" s="17" t="n">
        <x:v>6</x:v>
      </x:c>
      <x:c r="B11" s="18" t="str">
        <x:v>FR-006</x:v>
      </x:c>
      <x:c r="C11" s="18" t="str">
        <x:v>FR</x:v>
      </x:c>
      <x:c r="D11" s="18" t="str">
        <x:v>给定业务日期与[start,end)区间查询启用房间内启用且无重叠有效预约的座位；查询不锁定结果，提交时服务端重新验证。
Для даты и [start,end) вернуть включённые места в включённых помещениях без перекрытия действующих записей; поиск не резервирует результат, сервер проверяет его повторно при создании.</x:v>
      </x:c>
      <x:c r="E11" s="18" t="str">
        <x:v>FR</x:v>
      </x:c>
      <x:c r="F11" s="18" t="str">
        <x:v>docs/data/requirements.json#FR-006</x:v>
      </x:c>
      <x:c r="G11" s="18" t="str">
        <x:v>SP-FR-007</x:v>
      </x:c>
      <x:c r="H11" s="18" t="str">
        <x:v>保留原文作为来源，候选条目按独立行为和质量拆分。
Исходный текст сохранён; кандидаты разделены по поведению и качеству.</x:v>
      </x:c>
    </x:row>
    <x:row r="12" ht="87" customHeight="1">
      <x:c r="A12" s="13" t="n">
        <x:v>7</x:v>
      </x:c>
      <x:c r="B12" s="14" t="str">
        <x:v>FR-007</x:v>
      </x:c>
      <x:c r="C12" s="14" t="str">
        <x:v>FR</x:v>
      </x:c>
      <x:c r="D12" s="14" t="str">
        <x:v>校内已核验且启用的学生每次预约1座位；锁后验证资格、开放、7自然日、30分钟、最多24h及同学生/同seat时间区间冲突；非重叠时段可有多条预约，不计全局未结束总量上限。
Активный подтверждённый студент бронирует одно место; после блокировок проверяются допуск, часы,7дней,30мин,24ч и пересечения одного студента/места. Несколько непересекающихся записей допустимы без общего лимита незавершённых.</x:v>
      </x:c>
      <x:c r="E12" s="14" t="str">
        <x:v>FR, IF</x:v>
      </x:c>
      <x:c r="F12" s="14" t="str">
        <x:v>docs/data/requirements.json#FR-007</x:v>
      </x:c>
      <x:c r="G12" s="14" t="str">
        <x:v>SP-FR-008, SP-IF-001</x:v>
      </x:c>
      <x:c r="H12" s="14" t="str">
        <x:v>保留原文作为来源，候选条目按独立行为和质量拆分。
Исходный текст сохранён; кандидаты разделены по поведению и качеству.</x:v>
      </x:c>
    </x:row>
    <x:row r="13" ht="87" customHeight="1">
      <x:c r="A13" s="17" t="n">
        <x:v>8</x:v>
      </x:c>
      <x:c r="B13" s="18" t="str">
        <x:v>FR-008</x:v>
      </x:c>
      <x:c r="C13" s="18" t="str">
        <x:v>FR</x:v>
      </x:c>
      <x:c r="D13" s="18" t="str">
        <x:v>同seat或同user的未取消预约均用existing.start &lt; new.end且new.start &lt; existing.end判冲突；不同seat也不能使同学生时间重叠。相邻[start,end)允许，非重叠未来多条允许，检查与写入在同一事务。
Для одногоseat илиuser неотменённые записи конфликтуют при existing.start &lt; new.end иnew.start &lt; existing.end. Разные места не разрешают пересечение студента; соседние[start,end) и несколько непересекающихся будущих допустимы, проверка/запись атомарны.</x:v>
      </x:c>
      <x:c r="E13" s="18" t="str">
        <x:v>BR, FR, NFR</x:v>
      </x:c>
      <x:c r="F13" s="18" t="str">
        <x:v>docs/data/requirements.json#FR-008</x:v>
      </x:c>
      <x:c r="G13" s="18" t="str">
        <x:v>SP-BR-002, SP-FR-009, SP-NFR-004</x:v>
      </x:c>
      <x:c r="H13" s="18" t="str">
        <x:v>保留原文作为来源，候选条目按独立行为和质量拆分。
Исходный текст сохранён; кандидаты разделены по поведению и качеству.</x:v>
      </x:c>
    </x:row>
    <x:row r="14" ht="72" customHeight="1">
      <x:c r="A14" s="13" t="n">
        <x:v>9</x:v>
      </x:c>
      <x:c r="B14" s="14" t="str">
        <x:v>FR-009</x:v>
      </x:c>
      <x:c r="C14" s="14" t="str">
        <x:v>FR</x:v>
      </x:c>
      <x:c r="D14" s="14" t="str">
        <x:v>学生锁后now&lt;start可取消本人预约，开始后仅管理员带原因取消，重复幂等；取消仅释放该预约的seat和时段，其他非重叠预约不受影响。
Студент отменяет своё приnow&lt;start после блокировок, позже администратор с причиной, повтор идемпотентен. Освобождаются только место/интервал этой записи, другие непересекающиеся сохраняются.</x:v>
      </x:c>
      <x:c r="E14" s="14" t="str">
        <x:v>FR, IF</x:v>
      </x:c>
      <x:c r="F14" s="14" t="str">
        <x:v>docs/data/requirements.json#FR-009</x:v>
      </x:c>
      <x:c r="G14" s="14" t="str">
        <x:v>SP-FR-010, SP-FR-011, SP-FR-012, SP-IF-001</x:v>
      </x:c>
      <x:c r="H14" s="14" t="str">
        <x:v>保留原文作为来源，候选条目按独立行为和质量拆分。
Исходный текст сохранён; кандидаты разделены по поведению и качеству.</x:v>
      </x:c>
    </x:row>
    <x:row r="15" ht="57" customHeight="1">
      <x:c r="A15" s="17" t="n">
        <x:v>10</x:v>
      </x:c>
      <x:c r="B15" s="18" t="str">
        <x:v>FR-010</x:v>
      </x:c>
      <x:c r="C15" s="18" t="str">
        <x:v>FR</x:v>
      </x:c>
      <x:c r="D15" s="18" t="str">
        <x:v>学生仅查询本人预约；按起始时间倒序、状态与业务日期筛选，分页默认20且最多100。终结后保留180天，到期数据不伪造为空白历史。
Студент видит только свои записи, сортировка по началу по убыванию, фильтры по состоянию и деловой дате; страница20, максимум100. Хранение180 дней от завершения, истёкшие данные не выдаются за пустую историю.</x:v>
      </x:c>
      <x:c r="E15" s="18" t="str">
        <x:v>DR, FR, IF</x:v>
      </x:c>
      <x:c r="F15" s="18" t="str">
        <x:v>docs/data/requirements.json#FR-010</x:v>
      </x:c>
      <x:c r="G15" s="18" t="str">
        <x:v>SP-FR-013, SP-IF-001, SP-DR-002</x:v>
      </x:c>
      <x:c r="H15" s="18" t="str">
        <x:v>保留原文作为来源，候选条目按独立行为和质量拆分。
Исходный текст сохранён; кандидаты разделены по поведению и качеству.</x:v>
      </x:c>
    </x:row>
    <x:row r="16" ht="72" customHeight="1">
      <x:c r="A16" s="13" t="n">
        <x:v>11</x:v>
      </x:c>
      <x:c r="B16" s="14" t="str">
        <x:v>FR-011</x:v>
      </x:c>
      <x:c r="C16" s="14" t="str">
        <x:v>FR</x:v>
      </x:c>
      <x:c r="D16" s="14" t="str">
        <x:v>管理员维护房间位置、类型、名称与启停及Seat编码、启停；room_id+seat_code唯一，容量从启用座位派生；有历史的资源保留并软停用。
Администратор ведёт расположение, тип, имя и активность помещения и коды/активность Seat. room_id+seat_code уникален, ёмкость выводится из включённых мест; исторические ресурсы сохраняются с мягким отключением.</x:v>
      </x:c>
      <x:c r="E16" s="14" t="str">
        <x:v>BR, FR</x:v>
      </x:c>
      <x:c r="F16" s="14" t="str">
        <x:v>docs/data/requirements.json#FR-011</x:v>
      </x:c>
      <x:c r="G16" s="14" t="str">
        <x:v>SP-BR-004, SP-FR-014, SP-FR-015</x:v>
      </x:c>
      <x:c r="H16" s="14" t="str">
        <x:v>保留原文作为来源，候选条目按独立行为和质量拆分。
Исходный текст сохранён; кандидаты разделены по поведению и качеству.</x:v>
      </x:c>
    </x:row>
    <x:row r="17" ht="57" customHeight="1">
      <x:c r="A17" s="17" t="n">
        <x:v>12</x:v>
      </x:c>
      <x:c r="B17" s="18" t="str">
        <x:v>FR-012</x:v>
      </x:c>
      <x:c r="C17" s="18" t="str">
        <x:v>FR</x:v>
      </x:c>
      <x:c r="D17" s="18" t="str">
        <x:v>默认每天08:00–22:00，支持管理员按房间配置常规和日期例外；缩减开放窗口时同事务取消不满足新窗口的未结束预约，记录原因。
По умолчанию ежедневно08:00–22:00; администратор задаёт обычные часы и исключения помещения. Сокращение атомарно отменяет незавершённые записи вне нового окна с причиной.</x:v>
      </x:c>
      <x:c r="E17" s="18" t="str">
        <x:v>FR</x:v>
      </x:c>
      <x:c r="F17" s="18" t="str">
        <x:v>docs/data/requirements.json#FR-012</x:v>
      </x:c>
      <x:c r="G17" s="18" t="str">
        <x:v>SP-FR-006, SP-FR-016, SP-FR-017</x:v>
      </x:c>
      <x:c r="H17" s="18" t="str">
        <x:v>保留原文作为来源，候选条目按独立行为和质量拆分。
Исходный текст сохранён; кандидаты разделены по поведению и качеству.</x:v>
      </x:c>
    </x:row>
    <x:row r="18" ht="72" customHeight="1">
      <x:c r="A18" s="13" t="n">
        <x:v>13</x:v>
      </x:c>
      <x:c r="B18" s="14" t="str">
        <x:v>FR-013</x:v>
      </x:c>
      <x:c r="C18" s="14" t="str">
        <x:v>FR</x:v>
      </x:c>
      <x:c r="D18" s="14" t="str">
        <x:v>管理员配置授权开放和提前窗口；24h硬上限、同学生时段互斥、每条1seat和校内核验不能在普通管理界面放宽。不设置全局未结束预约总量限制；变更审计。
Администратор настраивает часы и горизонт;24ч, отсутствие пересечений студента, одноseat и проверка вуза не ослабляются обычным интерфейсом. Глобального лимита незавершённых нет; изменения аудируются.</x:v>
      </x:c>
      <x:c r="E18" s="14" t="str">
        <x:v>FR</x:v>
      </x:c>
      <x:c r="F18" s="14" t="str">
        <x:v>docs/data/requirements.json#FR-013</x:v>
      </x:c>
      <x:c r="G18" s="14" t="str">
        <x:v>SP-FR-018</x:v>
      </x:c>
      <x:c r="H18" s="14" t="str">
        <x:v>保留原文作为来源，候选条目按独立行为和质量拆分。
Исходный текст сохранён; кандидаты разделены по поведению и качеству.</x:v>
      </x:c>
    </x:row>
    <x:row r="19" ht="57" customHeight="1">
      <x:c r="A19" s="17" t="n">
        <x:v>14</x:v>
      </x:c>
      <x:c r="B19" s="18" t="str">
        <x:v>FR-014</x:v>
      </x:c>
      <x:c r="C19" s="18" t="str">
        <x:v>FR</x:v>
      </x:c>
      <x:c r="D19" s="18" t="str">
        <x:v>管理员按业务日期、房间、座位、状态和学号在保留期内分页查看必要预约记录；MVP不提供批量导出，已去标识化记录不显示原学号姓名。
Администратор постранично просматривает необходимые записи по дате, помещению, месту, состоянию и номеру в срок хранения; массового экспорта в MVP нет, обезличенные записи не показывают прежние имя/номер.</x:v>
      </x:c>
      <x:c r="E19" s="18" t="str">
        <x:v>BR, FR</x:v>
      </x:c>
      <x:c r="F19" s="18" t="str">
        <x:v>docs/data/requirements.json#FR-014</x:v>
      </x:c>
      <x:c r="G19" s="18" t="str">
        <x:v>SP-BR-004, SP-FR-019</x:v>
      </x:c>
      <x:c r="H19" s="18" t="str">
        <x:v>保留原文作为来源，候选条目按独立行为和质量拆分。
Исходный текст сохранён; кандидаты разделены по поведению и качеству.</x:v>
      </x:c>
    </x:row>
    <x:row r="20" ht="87" customHeight="1">
      <x:c r="A20" s="13" t="n">
        <x:v>15</x:v>
      </x:c>
      <x:c r="B20" s="14" t="str">
        <x:v>FR-015</x:v>
      </x:c>
      <x:c r="C20" s="14" t="str">
        <x:v>FR</x:v>
      </x:c>
      <x:c r="D20" s="14" t="str">
        <x:v>管理员维护账号启停、角色和校内审核状态；显式CLI交互创建首位管理员，无默认密码。停用或学生身份字段改变时同事务取消未结束预约；身份变更需重新核验。
Администратор ведёт активность, роль и статус проверки; первый администратор создаётся интерактивной CLI без исходного пароля. Отключение или изменение студенческих идентификаторов атомарно отменяет незавершённые записи; изменение требует повторной проверки.</x:v>
      </x:c>
      <x:c r="E20" s="14" t="str">
        <x:v>FR</x:v>
      </x:c>
      <x:c r="F20" s="14" t="str">
        <x:v>docs/data/requirements.json#FR-015</x:v>
      </x:c>
      <x:c r="G20" s="14" t="str">
        <x:v>SP-FR-020, SP-FR-021, SP-FR-026, SP-FR-031</x:v>
      </x:c>
      <x:c r="H20" s="14" t="str">
        <x:v>保留原文作为来源，候选条目按独立行为和质量拆分。
Исходный текст сохранён; кандидаты разделены по поведению и качеству.</x:v>
      </x:c>
    </x:row>
    <x:row r="21" ht="72" customHeight="1">
      <x:c r="A21" s="17" t="n">
        <x:v>16</x:v>
      </x:c>
      <x:c r="B21" s="18" t="str">
        <x:v>FR-016</x:v>
      </x:c>
      <x:c r="C21" s="18" t="str">
        <x:v>FR</x:v>
      </x:c>
      <x:c r="D21" s="18" t="str">
        <x:v>按预约业务日期D与统一as_of提供累计创建数、累计取消数和未取消且未结束数（包含未来）；不推断到场、实际占用或使用率，清理过期数据返回不可统计。
По дате бронирования D и общему as_of показать созданные, отменённые и неотменённые незавершённые записи, включая будущие; не выводить посещаемость, фактическую занятость или загрузку; удалённые данные недоступны.</x:v>
      </x:c>
      <x:c r="E21" s="18" t="str">
        <x:v>BR, FR</x:v>
      </x:c>
      <x:c r="F21" s="18" t="str">
        <x:v>docs/data/requirements.json#FR-016</x:v>
      </x:c>
      <x:c r="G21" s="18" t="str">
        <x:v>SP-BR-004, SP-FR-023, SP-FR-024, SP-FR-025</x:v>
      </x:c>
      <x:c r="H21" s="18" t="str">
        <x:v>保留原文作为来源，候选条目按独立行为和质量拆分。
Исходный текст сохранён; кандидаты разделены по поведению и качеству.</x:v>
      </x:c>
    </x:row>
    <x:row r="22" ht="87" customHeight="1">
      <x:c r="A22" s="13" t="n">
        <x:v>17</x:v>
      </x:c>
      <x:c r="B22" s="14" t="str">
        <x:v>FR-017</x:v>
      </x:c>
      <x:c r="C22" s="14" t="str">
        <x:v>FR</x:v>
      </x:c>
      <x:c r="D22" s="14" t="str">
        <x:v>已确认MVP为单座位预约，沿用原ID并从FUTURE移至MVP；Seat隶属于Room且编码在房间内唯一，查询、冲突和管理围绕seat_id。不要求图形座位图。
Подтверждён MVP отдельного места; прежний ID сохранён и перенесён из FUTURE в MVP. Seat принадлежит Room с уникальным локальным кодом, поиск, конфликты и управление используют seat_id; графическая карта не обязательна.</x:v>
      </x:c>
      <x:c r="E22" s="14" t="str">
        <x:v>C, FR</x:v>
      </x:c>
      <x:c r="F22" s="14" t="str">
        <x:v>docs/data/requirements.json#FR-017</x:v>
      </x:c>
      <x:c r="G22" s="14" t="str">
        <x:v>SP-FR-007, SP-FR-008, SP-FR-015, SP-C-001</x:v>
      </x:c>
      <x:c r="H22" s="14" t="str">
        <x:v>保留原文作为来源，候选条目按独立行为和质量拆分。
Исходный текст сохранён; кандидаты разделены по поведению и качеству.</x:v>
      </x:c>
    </x:row>
    <x:row r="23" ht="42" customHeight="1">
      <x:c r="A23" s="17" t="n">
        <x:v>18</x:v>
      </x:c>
      <x:c r="B23" s="18" t="str">
        <x:v>FR-018</x:v>
      </x:c>
      <x:c r="C23" s="18" t="str">
        <x:v>FR</x:v>
      </x:c>
      <x:c r="D23" s="18" t="str">
        <x:v>扩展候选：提供预约提醒；渠道、同意、重试和发送时机待确认。
Кандидат расширения: напоминания; канал, согласие, повторы и момент отправки требуют подтверждения.</x:v>
      </x:c>
      <x:c r="E23" s="18" t="str">
        <x:v>FR</x:v>
      </x:c>
      <x:c r="F23" s="18" t="str">
        <x:v>docs/data/requirements.json#FR-018</x:v>
      </x:c>
      <x:c r="G23" s="18" t="str">
        <x:v>SP-FR-027</x:v>
      </x:c>
      <x:c r="H23" s="18" t="str">
        <x:v>保留原文作为来源，候选条目按独立行为和质量拆分。
Исходный текст сохранён; кандидаты разделены по поведению и качеству.</x:v>
      </x:c>
    </x:row>
    <x:row r="24" ht="57" customHeight="1">
      <x:c r="A24" s="13" t="n">
        <x:v>19</x:v>
      </x:c>
      <x:c r="B24" s="14" t="str">
        <x:v>FR-019</x:v>
      </x:c>
      <x:c r="C24" s="14" t="str">
        <x:v>FR</x:v>
      </x:c>
      <x:c r="D24" s="14" t="str">
        <x:v>扩展候选：二维码签到；令牌有效期、反重放及离线处理待确认。
Кандидат расширения: отметка посещения по QR-коду; срок действия, защита от повторного использования и офлайн-режим требуют подтверждения.</x:v>
      </x:c>
      <x:c r="E24" s="14" t="str">
        <x:v>FR</x:v>
      </x:c>
      <x:c r="F24" s="14" t="str">
        <x:v>docs/data/requirements.json#FR-019</x:v>
      </x:c>
      <x:c r="G24" s="14" t="str">
        <x:v>SP-FR-028</x:v>
      </x:c>
      <x:c r="H24" s="14" t="str">
        <x:v>保留原文作为来源，候选条目按独立行为和质量拆分。
Исходный текст сохранён; кандидаты разделены по поведению и качеству.</x:v>
      </x:c>
    </x:row>
    <x:row r="25" ht="42" customHeight="1">
      <x:c r="A25" s="17" t="n">
        <x:v>20</x:v>
      </x:c>
      <x:c r="B25" s="18" t="str">
        <x:v>FR-020</x:v>
      </x:c>
      <x:c r="C25" s="18" t="str">
        <x:v>FR</x:v>
      </x:c>
      <x:c r="D25" s="18" t="str">
        <x:v>扩展候选：记录预约违约；认定依据、申诉及保留期待确认。
Кандидат расширения: учёт нарушений; критерии, оспаривание и срок хранения требуют подтверждения.</x:v>
      </x:c>
      <x:c r="E25" s="18" t="str">
        <x:v>FR</x:v>
      </x:c>
      <x:c r="F25" s="18" t="str">
        <x:v>docs/data/requirements.json#FR-020</x:v>
      </x:c>
      <x:c r="G25" s="18" t="str">
        <x:v>SP-FR-029</x:v>
      </x:c>
      <x:c r="H25" s="18" t="str">
        <x:v>保留原文作为来源，候选条目按独立行为和质量拆分。
Исходный текст сохранён; кандидаты разделены по поведению и качеству.</x:v>
      </x:c>
    </x:row>
    <x:row r="26" ht="57" customHeight="1">
      <x:c r="A26" s="13" t="n">
        <x:v>21</x:v>
      </x:c>
      <x:c r="B26" s="14" t="str">
        <x:v>FR-021</x:v>
      </x:c>
      <x:c r="C26" s="14" t="str">
        <x:v>FR</x:v>
      </x:c>
      <x:c r="D26" s="14" t="str">
        <x:v>扩展候选：资源利用率统计；有效占用和分母定义待确认。
Кандидат расширения: анализ использования ресурсов; определение фактического занятия и знаменателя требует подтверждения.</x:v>
      </x:c>
      <x:c r="E26" s="14" t="str">
        <x:v>FR</x:v>
      </x:c>
      <x:c r="F26" s="14" t="str">
        <x:v>docs/data/requirements.json#FR-021</x:v>
      </x:c>
      <x:c r="G26" s="14" t="str">
        <x:v>SP-FR-030</x:v>
      </x:c>
      <x:c r="H26" s="14" t="str">
        <x:v>保留原文作为来源，候选条目按独立行为和质量拆分。
Исходный текст сохранён; кандидаты разделены по поведению и качеству.</x:v>
      </x:c>
    </x:row>
    <x:row r="27" ht="57" customHeight="1">
      <x:c r="A27" s="17" t="n">
        <x:v>22</x:v>
      </x:c>
      <x:c r="B27" s="18" t="str">
        <x:v>NFR-001</x:v>
      </x:c>
      <x:c r="C27" s="18" t="str">
        <x:v>NFR</x:v>
      </x:c>
      <x:c r="D27" s="18" t="str">
        <x:v>拟保持前后端分层、类型检查、锁文件和可重复运行说明；验收标准待确认。
Предлагаются разделение слоёв, проверка типов, lock-файлы и воспроизводимые инструкции; критерии приёмки требуют подтверждения.</x:v>
      </x:c>
      <x:c r="E27" s="18" t="str">
        <x:v>C, NFR</x:v>
      </x:c>
      <x:c r="F27" s="18" t="str">
        <x:v>docs/data/requirements.json#NFR-001</x:v>
      </x:c>
      <x:c r="G27" s="18" t="str">
        <x:v>SP-NFR-001, SP-C-005</x:v>
      </x:c>
      <x:c r="H27" s="18" t="str">
        <x:v>保留原文作为来源，候选条目按独立行为和质量拆分。
Исходный текст сохранён; кандидаты разделены по поведению и качеству.</x:v>
      </x:c>
    </x:row>
    <x:row r="28" ht="57" customHeight="1">
      <x:c r="A28" s="13" t="n">
        <x:v>23</x:v>
      </x:c>
      <x:c r="B28" s="14" t="str">
        <x:v>NFR-002</x:v>
      </x:c>
      <x:c r="C28" s="14" t="str">
        <x:v>NFR</x:v>
      </x:c>
      <x:c r="D28" s="14" t="str">
        <x:v>响应时间、并发用户数、数据量及测量环境均待确认；不在初始化时承诺数值。
Время ответа, число параллельных пользователей, объём данных и среда измерения требуют подтверждения; числовые гарантии на этапе инициализации отсутствуют.</x:v>
      </x:c>
      <x:c r="E28" s="14" t="str">
        <x:v>NFR</x:v>
      </x:c>
      <x:c r="F28" s="14" t="str">
        <x:v>docs/data/requirements.json#NFR-002</x:v>
      </x:c>
      <x:c r="G28" s="14" t="str">
        <x:v>SP-NFR-002</x:v>
      </x:c>
      <x:c r="H28" s="14" t="str">
        <x:v>保留原文作为来源，候选条目按独立行为和质量拆分。
Исходный текст сохранён; кандидаты разделены по поведению и качеству.</x:v>
      </x:c>
    </x:row>
    <x:row r="29" ht="87" customHeight="1">
      <x:c r="A29" s="17" t="n">
        <x:v>24</x:v>
      </x:c>
      <x:c r="B29" s="18" t="str">
        <x:v>NFR-003</x:v>
      </x:c>
      <x:c r="C29" s="18" t="str">
        <x:v>NFR</x:v>
      </x:c>
      <x:c r="D29" s="18" t="str">
        <x:v>采用密码安全存储、服务端授权与输入校验；会话/密码具体技术在实现前完成技术评审。只有启用且校内已核验学生可预约，日志不包含密码、token、证明影像或身份字段副本。
Безопасное хранение пароля, серверная авторизация и валидация; конкретные механизмы сессии/пароля технически рассматриваются до реализации. Бронирует активный подтверждённый студент; логи не содержат пароли, token, изображения и копии идентификаторов.</x:v>
      </x:c>
      <x:c r="E29" s="18" t="str">
        <x:v>DR, FR, NFR</x:v>
      </x:c>
      <x:c r="F29" s="18" t="str">
        <x:v>docs/data/requirements.json#NFR-003</x:v>
      </x:c>
      <x:c r="G29" s="18" t="str">
        <x:v>SP-FR-004, SP-NFR-003, SP-NFR-009, SP-NFR-010, SP-DR-001</x:v>
      </x:c>
      <x:c r="H29" s="18" t="str">
        <x:v>保留原文作为来源，候选条目按独立行为和质量拆分。
Исходный текст сохранён; кандидаты разделены по поведению и качеству.</x:v>
      </x:c>
    </x:row>
    <x:row r="30" ht="87" customHeight="1">
      <x:c r="A30" s="13" t="n">
        <x:v>25</x:v>
      </x:c>
      <x:c r="B30" s="14" t="str">
        <x:v>NFR-004</x:v>
      </x:c>
      <x:c r="C30" s="14" t="str">
        <x:v>NFR</x:v>
      </x:c>
      <x:c r="D30" s="14" t="str">
        <x:v>同学生与同seat时间冲突检查和写入原子完成；SQLite先BEGIN IMMEDIATE；PG按User→Room→Seat取锁，User锁保护该学生区间检查，不做总数配额判断。锁后取now；资源关闭不逆序取User锁。并发同学生重叠仅1成功，非重叠可全部成功；测试尚未执行。
Пересечения студента/места и запись атомарны; SQLite BEGIN IMMEDIATE, PG User→Room→Seat. User защищает проверку интервалов, не общего количества. now после блокировок, закрытие без обратныхUser. Одновременные пересекающиеся одного студента — один успех, непересекающиеся — все; тесты не выполнены.</x:v>
      </x:c>
      <x:c r="E30" s="14" t="str">
        <x:v>NFR</x:v>
      </x:c>
      <x:c r="F30" s="14" t="str">
        <x:v>docs/data/requirements.json#NFR-004</x:v>
      </x:c>
      <x:c r="G30" s="14" t="str">
        <x:v>SP-NFR-004</x:v>
      </x:c>
      <x:c r="H30" s="14" t="str">
        <x:v>保留原文作为来源，候选条目按独立行为和质量拆分。
Исходный текст сохранён; кандидаты разделены по поведению и качеству.</x:v>
      </x:c>
    </x:row>
    <x:row r="31" ht="87" customHeight="1">
      <x:c r="A31" s="17" t="n">
        <x:v>26</x:v>
      </x:c>
      <x:c r="B31" s="18" t="str">
        <x:v>NFR-005</x:v>
      </x:c>
      <x:c r="C31" s="18" t="str">
        <x:v>NFR</x:v>
      </x:c>
      <x:c r="D31" s="18" t="str">
        <x:v>SQLite用于开发，PostgreSQL为Docker部署候选；首个业务实体前引入Alembic，实施后验证模式、数据、约束、回滚和并发。当前无业务表和迁移验收。
SQLite используется при разработке, PostgreSQL — кандидат Docker-размещения; Alembic вводится до первой бизнес-сущности. После реализации проверяются схема, данные, ограничения, откат и конкуренция; бизнес-таблиц и приёмки миграции сейчас нет.</x:v>
      </x:c>
      <x:c r="E31" s="18" t="str">
        <x:v>C, NFR, TR</x:v>
      </x:c>
      <x:c r="F31" s="18" t="str">
        <x:v>docs/data/requirements.json#NFR-005</x:v>
      </x:c>
      <x:c r="G31" s="18" t="str">
        <x:v>SP-NFR-005, SP-C-005, SP-TR-001</x:v>
      </x:c>
      <x:c r="H31" s="18" t="str">
        <x:v>保留原文作为来源，候选条目按独立行为和质量拆分。
Исходный текст сохранён; кандидаты разделены по поведению и качеству.</x:v>
      </x:c>
    </x:row>
    <x:row r="32" ht="87" customHeight="1">
      <x:c r="A32" s="13" t="n">
        <x:v>27</x:v>
      </x:c>
      <x:c r="B32" s="14" t="str">
        <x:v>NFR-006</x:v>
      </x:c>
      <x:c r="C32" s="14" t="str">
        <x:v>NFR</x:v>
      </x:c>
      <x:c r="D32" s="14" t="str">
        <x:v>界面zh-CN、ru-RU、en-US，业务语义、状态和时间含义保持一致；正式文档仍中俄成对。优先支持当前稳定Chromium/Firefox/Safari及375px可用布局；完整业务三语与浏览器验收尚未执行。
Интерфейс zh-CN, ru-RU, en-US с одинаковым бизнес-смыслом, состояниями и временем; документы остаются китайско-русскими. Цель — стабильные Chromium/Firefox/Safari и375px; полноценная языковая и браузерная приёмка не выполнена.</x:v>
      </x:c>
      <x:c r="E32" s="14" t="str">
        <x:v>C, NFR</x:v>
      </x:c>
      <x:c r="F32" s="14" t="str">
        <x:v>docs/data/requirements.json#NFR-006</x:v>
      </x:c>
      <x:c r="G32" s="14" t="str">
        <x:v>SP-NFR-006, SP-C-004</x:v>
      </x:c>
      <x:c r="H32" s="14" t="str">
        <x:v>保留原文作为来源，候选条目按独立行为和质量拆分。
Исходный текст сохранён; кандидаты разделены по поведению и качеству.</x:v>
      </x:c>
    </x:row>
    <x:row r="33" ht="87" customHeight="1">
      <x:c r="A33" s="17" t="n">
        <x:v>28</x:v>
      </x:c>
      <x:c r="B33" s="18" t="str">
        <x:v>NFR-007</x:v>
      </x:c>
      <x:c r="C33" s="18" t="str">
        <x:v>NFR</x:v>
      </x:c>
      <x:c r="D33" s="18" t="str">
        <x:v>健康与就绪用于诊断，操作/审核日志保留180天且不复制秘密或身份字段；预约终结后180天、备份每日7份，恢复先运行到期清理。账号不可逆身份清除按停用30天和关联记录到期的较晚时点。
Работоспособность/готовность диагностируются; аудит хранится180 дней без копий секретов/идентификаторов. Бронирования —180 дней от завершения, ежедневных копий семь, восстановление начинается с очистки. Идентификаторы удаляются после более позднего из отключения+30 дней и истечения связанных записей.</x:v>
      </x:c>
      <x:c r="E33" s="18" t="str">
        <x:v>DR, NFR</x:v>
      </x:c>
      <x:c r="F33" s="18" t="str">
        <x:v>docs/data/requirements.json#NFR-007</x:v>
      </x:c>
      <x:c r="G33" s="18" t="str">
        <x:v>SP-NFR-003, SP-NFR-007, SP-DR-002, SP-DR-003</x:v>
      </x:c>
      <x:c r="H33" s="18" t="str">
        <x:v>保留原文作为来源，候选条目按独立行为和质量拆分。
Исходный текст сохранён; кандидаты разделены по поведению и качеству.</x:v>
      </x:c>
    </x:row>
    <x:row r="34" ht="57" customHeight="1">
      <x:c r="A34" s="13" t="n">
        <x:v>29</x:v>
      </x:c>
      <x:c r="B34" s="14" t="str">
        <x:v>NFR-008</x:v>
      </x:c>
      <x:c r="C34" s="14" t="str">
        <x:v>NFR</x:v>
      </x:c>
      <x:c r="D34" s="14" t="str">
        <x:v>文档编号、版本、章节与需求编号须保持中俄一致；候选需求应记录设计及计划测试关系。
Идентификаторы, версии, разделы и номера требований совпадают в китайской и русской версиях; для кандидатов фиксируются связи с проектированием и планируемыми тестами.</x:v>
      </x:c>
      <x:c r="E34" s="14" t="str">
        <x:v>BR, C, NFR</x:v>
      </x:c>
      <x:c r="F34" s="14" t="str">
        <x:v>docs/data/requirements.json#NFR-008</x:v>
      </x:c>
      <x:c r="G34" s="14" t="str">
        <x:v>SP-BR-005, SP-NFR-008, SP-C-004</x:v>
      </x:c>
      <x:c r="H34" s="14" t="str">
        <x:v>保留原文作为来源，候选条目按独立行为和质量拆分。
Исходный текст сохранён; кандидаты разделены по поведению и качеству.</x:v>
      </x:c>
    </x:row>
    <x:row r="35" ht="87" customHeight="1">
      <x:c r="A35" s="17" t="n">
        <x:v>30</x:v>
      </x:c>
      <x:c r="B35" s="18" t="str">
        <x:v>BR-001</x:v>
      </x:c>
      <x:c r="C35" s="18" t="str">
        <x:v>BR</x:v>
      </x:c>
      <x:c r="D35" s="18" t="str">
        <x:v>采用[start,end)，时刻带时区并UTC存储；上海业务起止必须整点/半点且秒微秒为0，时长至少30分钟、不超过24小时，起点严格晚于锁后now，结束可为该业务日次日00:00边界。
Интервал[start,end), время с поясом хранится UTC; начала/концы в Shanghai на целом или получасе с нулевыми секундами, длительность30 минут...24ч, начало строго позже now после блокировок; конец может совпасть с00:00 следующего дня как границей.</x:v>
      </x:c>
      <x:c r="E35" s="18" t="str">
        <x:v>C, FR</x:v>
      </x:c>
      <x:c r="F35" s="18" t="str">
        <x:v>docs/data/requirements.json#BR-001</x:v>
      </x:c>
      <x:c r="G35" s="18" t="str">
        <x:v>SP-FR-008, SP-C-002, SP-C-003</x:v>
      </x:c>
      <x:c r="H35" s="18" t="str">
        <x:v>原BR为业务规则，不等于课堂BR业务需求。
Исходный BR — бизнес-правило, не учебная бизнес-потребность BR.</x:v>
      </x:c>
    </x:row>
    <x:row r="36" ht="57" customHeight="1">
      <x:c r="A36" s="13" t="n">
        <x:v>31</x:v>
      </x:c>
      <x:c r="B36" s="14" t="str">
        <x:v>BR-002</x:v>
      </x:c>
      <x:c r="C36" s="14" t="str">
        <x:v>BR</x:v>
      </x:c>
      <x:c r="D36" s="14" t="str">
        <x:v>同seat有效预约不得重叠；取消记录不占用，相邻[start,end)不冲突；房间容量不作为整室预约或共享同一seat的替代。
Действующие бронирования одного seat не перекрываются; отменённые не занимают, соседние[start,end) допустимы; ёмкость помещения не заменяет отдельный seat и не разрешает его совместное занятие.</x:v>
      </x:c>
      <x:c r="E36" s="14" t="str">
        <x:v>BR, C, FR</x:v>
      </x:c>
      <x:c r="F36" s="14" t="str">
        <x:v>docs/data/requirements.json#BR-002</x:v>
      </x:c>
      <x:c r="G36" s="14" t="str">
        <x:v>SP-BR-002, SP-FR-007, SP-FR-009, SP-C-001</x:v>
      </x:c>
      <x:c r="H36" s="14" t="str">
        <x:v>原BR为业务规则，不等于课堂BR业务需求。
Исходный BR — бизнес-правило, не учебная бизнес-потребность BR.</x:v>
      </x:c>
    </x:row>
    <x:row r="37" ht="72" customHeight="1">
      <x:c r="A37" s="17" t="n">
        <x:v>32</x:v>
      </x:c>
      <x:c r="B37" s="18" t="str">
        <x:v>BR-003</x:v>
      </x:c>
      <x:c r="C37" s="18" t="str">
        <x:v>BR</x:v>
      </x:c>
      <x:c r="D37" s="18" t="str">
        <x:v>默认所有星期与节假日按08:00–22:00开放，管理员明确例外优先；预约须在单个业务日允许窗口内，默认最多14小时。配置全天00:00–24:00时才有24h合法正例。
По умолчанию все дни, включая праздники,08:00–22:00, явное исключение администратора приоритетно. Бронирование внутри одного делового дня и окна, обычно максимум14ч;24ч допустимы только при полном00:00–24:00.</x:v>
      </x:c>
      <x:c r="E37" s="18" t="str">
        <x:v>C, FR</x:v>
      </x:c>
      <x:c r="F37" s="18" t="str">
        <x:v>docs/data/requirements.json#BR-003</x:v>
      </x:c>
      <x:c r="G37" s="18" t="str">
        <x:v>SP-FR-006, SP-FR-008, SP-FR-016, SP-C-003</x:v>
      </x:c>
      <x:c r="H37" s="18" t="str">
        <x:v>原BR为业务规则，不等于课堂BR业务需求。
Исходный BR — бизнес-правило, не учебная бизнес-потребность BR.</x:v>
      </x:c>
    </x:row>
    <x:row r="38" ht="87" customHeight="1">
      <x:c r="A38" s="13" t="n">
        <x:v>33</x:v>
      </x:c>
      <x:c r="B38" s="14" t="str">
        <x:v>BR-004</x:v>
      </x:c>
      <x:c r="C38" s="14" t="str">
        <x:v>BR</x:v>
      </x:c>
      <x:c r="D38" s="14" t="str">
        <x:v>每学生的未取消预约时段不得重叠，但允许多条非重叠预约，包括同日及不同未来日；没有全局未结束总量限制。每条仅1seat且最多24h，仍符合开放时间、30分钟及今天至+6规则。相邻[start,end)允许。
Неотменённые интервалы студента не пересекаются, несколько непересекающихся допустимы в один/разные будущие дни без глобального лимита. Одна запись одноseat, максимум24ч, часы/30мин/сегодня...+6 сохраняются, соседние[start,end) допустимы.</x:v>
      </x:c>
      <x:c r="E38" s="14" t="str">
        <x:v>BR, C, FR</x:v>
      </x:c>
      <x:c r="F38" s="14" t="str">
        <x:v>docs/data/requirements.json#BR-004</x:v>
      </x:c>
      <x:c r="G38" s="14" t="str">
        <x:v>SP-BR-002, SP-FR-008, SP-FR-009, SP-C-001, SP-C-003</x:v>
      </x:c>
      <x:c r="H38" s="14" t="str">
        <x:v>原BR为业务规则，不等于课堂BR业务需求。
Исходный BR — бизнес-правило, не учебная бизнес-потребность BR.</x:v>
      </x:c>
    </x:row>
    <x:row r="39" ht="87" customHeight="1">
      <x:c r="A39" s="17" t="n">
        <x:v>34</x:v>
      </x:c>
      <x:c r="B39" s="18" t="str">
        <x:v>BR-005</x:v>
      </x:c>
      <x:c r="C39" s="18" t="str">
        <x:v>BR</x:v>
      </x:c>
      <x:c r="D39" s="18" t="str">
        <x:v>学生仅锁后now&lt;start时取消本人预约；开始及之后仅ADMIN有原因取消。重复取消幂等不重复计数；停止资源/账号所致取消也有原因并原子释放座位与配额。
Студент отменяет своё только при now&lt;start после блокировок; с начала — ADMIN с причиной. Повтор идемпотентен без повторного счёта; отключение ресурса/аккаунта отменяет с причиной и атомарно освобождает место/лимит.</x:v>
      </x:c>
      <x:c r="E39" s="18" t="str">
        <x:v>FR</x:v>
      </x:c>
      <x:c r="F39" s="18" t="str">
        <x:v>docs/data/requirements.json#BR-005</x:v>
      </x:c>
      <x:c r="G39" s="18" t="str">
        <x:v>SP-FR-010, SP-FR-011, SP-FR-012</x:v>
      </x:c>
      <x:c r="H39" s="18" t="str">
        <x:v>原BR为业务规则，不等于课堂BR业务需求。
Исходный BR — бизнес-правило, не учебная бизнес-потребность BR.</x:v>
      </x:c>
    </x:row>
    <x:row r="40" ht="87" customHeight="1">
      <x:c r="A40" s="13" t="n">
        <x:v>35</x:v>
      </x:c>
      <x:c r="B40" s="14" t="str">
        <x:v>BR-006</x:v>
      </x:c>
      <x:c r="C40" s="14" t="str">
        <x:v>BR</x:v>
      </x:c>
      <x:c r="D40" s="14" t="str">
        <x:v>必须校内身份验证，只有ENABLED+STUDENT+VERIFIED可预约；PENDING可登录只读；全校学号在仍保留身份映射账号中唯一。管理员显式CLI创建，身份字段更改重新审核，学校实际核验来源未知前不可自动判通过。
Требуется принадлежность к вузу, бронирует только ENABLED+STUDENT+VERIFIED; PENDING входит для чтения. Номер уникален среди сохранивших идентичность аккаунтов; администратор создаётся явной CLI, изменение идентификаторов требует проверки, неизвестный источник не даёт автоматического успеха.</x:v>
      </x:c>
      <x:c r="E40" s="14" t="str">
        <x:v>BR, DR, FR</x:v>
      </x:c>
      <x:c r="F40" s="14" t="str">
        <x:v>docs/data/requirements.json#BR-006</x:v>
      </x:c>
      <x:c r="G40" s="14" t="str">
        <x:v>SP-BR-003, SP-FR-001, SP-FR-004, SP-FR-020, SP-FR-021, SP-FR-022, SP-FR-026, SP-FR-031, SP-DR-001</x:v>
      </x:c>
      <x:c r="H40" s="14" t="str">
        <x:v>原BR为业务规则，不等于课堂BR业务需求。
Исходный BR — бизнес-правило, не учебная бизнес-потребность BR.</x:v>
      </x:c>
    </x:row>
    <x:row r="41" ht="87" customHeight="1">
      <x:c r="A41" s="17" t="n">
        <x:v>36</x:v>
      </x:c>
      <x:c r="B41" s="18" t="str">
        <x:v>BR-007</x:v>
      </x:c>
      <x:c r="C41" s="18" t="str">
        <x:v>BR</x:v>
      </x:c>
      <x:c r="D41" s="18" t="str">
        <x:v>房间/seat停用或开放缩减时，同事务取消受影响未结束预约并记录理由；启用不恢复旧预约。保存历史资源，以软停用代替物理删除；预约终结后保留180天。
Отключение помещения/seat или сокращение часов атомарно отменяет затронутые незавершённые записи с причиной; включение не восстанавливает их. Исторические ресурсы мягко отключаются, записи хранятся180 дней от завершения.</x:v>
      </x:c>
      <x:c r="E41" s="18" t="str">
        <x:v>DR, FR</x:v>
      </x:c>
      <x:c r="F41" s="18" t="str">
        <x:v>docs/data/requirements.json#BR-007</x:v>
      </x:c>
      <x:c r="G41" s="18" t="str">
        <x:v>SP-FR-017, SP-DR-002</x:v>
      </x:c>
      <x:c r="H41" s="18" t="str">
        <x:v>原BR为业务规则，不等于课堂BR业务需求。
Исходный BR — бизнес-правило, не учебная бизнес-потребность BR.</x:v>
      </x:c>
    </x:row>
    <x:row r="42" ht="87" customHeight="1">
      <x:c r="A42" s="13" t="n">
        <x:v>37</x:v>
      </x:c>
      <x:c r="B42" s="14" t="str">
        <x:v>BR-008</x:v>
      </x:c>
      <x:c r="C42" s="14" t="str">
        <x:v>BR</x:v>
      </x:c>
      <x:c r="D42" s="14" t="str">
        <x:v>学校业务默认Asia/Shanghai，UTC保存时刻并按该时区解释自然日；日区间[D00:00,(D+1)00:00)，次日00:00仅可为结束边界。设备时区无效；未来范围按锁后业务今天至+6计算。
Деловой пояс по умолчанию Asia/Shanghai, хранение UTC и календарные дни в нём; день[D00:00,(D+1)00:00), следующая00:00 — только правая граница. Пояс устройства не меняет правила, окно вычисляется по дню now после блокировок до+6.</x:v>
      </x:c>
      <x:c r="E42" s="14" t="str">
        <x:v>C, FR</x:v>
      </x:c>
      <x:c r="F42" s="14" t="str">
        <x:v>docs/data/requirements.json#BR-008</x:v>
      </x:c>
      <x:c r="G42" s="14" t="str">
        <x:v>SP-FR-006, SP-C-002, SP-C-003</x:v>
      </x:c>
      <x:c r="H42" s="14" t="str">
        <x:v>原BR为业务规则，不等于课堂BR业务需求。
Исходный BR — бизнес-правило, не учебная бизнес-потребность BR.</x:v>
      </x:c>
    </x:row>
    <x:row r="43" ht="87" customHeight="1">
      <x:c r="A43" s="17" t="n">
        <x:v>38</x:v>
      </x:c>
      <x:c r="B43" s="18" t="str">
        <x:v>FR-022</x:v>
      </x:c>
      <x:c r="C43" s="18" t="str">
        <x:v>FR</x:v>
      </x:c>
      <x:c r="D43" s="18" t="str">
        <x:v>管理员根据真实学校核验来源审核PENDING学生为VERIFIED或REJECTED，记录审核人、时间、决定和非影像来源引用；来源仍未确定时不能冒充核验通过。角色与账号启停独立。
Администратор по фактическому источнику вуза переводит PENDING в VERIFIED либо REJECTED с проверяющим, временем, решением и ссылкой без изображения; пока источник неизвестен, успешная проверка не выдумывается. Роль и активность независимы.</x:v>
      </x:c>
      <x:c r="E43" s="18" t="str">
        <x:v>BR, FR, IF</x:v>
      </x:c>
      <x:c r="F43" s="18" t="str">
        <x:v>docs/data/requirements.json#FR-022</x:v>
      </x:c>
      <x:c r="G43" s="18" t="str">
        <x:v>SP-BR-003, SP-FR-022, SP-IF-002</x:v>
      </x:c>
      <x:c r="H43" s="18" t="str">
        <x:v>保留原文作为来源，候选条目按独立行为和质量拆分。
Исходный текст сохранён; кандидаты разделены по поведению и качеству.</x:v>
      </x:c>
    </x:row>
  </x:sheetData>
  <x:pageMargins left="0.7" right="0.7" top="0.75" bottom="0.75" header="0.3" footer="0.3"/>
  <x:tableParts count="1">
    <x:tablePart xmlns:r="http://schemas.openxmlformats.org/officeDocument/2006/relationships" r:id="R413e51a075104c37"/>
  </x:tableParts>
</x:worksheet>
</file>